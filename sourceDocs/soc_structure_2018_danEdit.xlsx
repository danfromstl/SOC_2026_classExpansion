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9ED88124-EF16-446E-9645-B9892F058E31}" xr6:coauthVersionLast="47" xr6:coauthVersionMax="47" xr10:uidLastSave="{00000000-0000-0000-0000-000000000000}"/>
  <bookViews>
    <workbookView xWindow="8370" yWindow="1605" windowWidth="28395" windowHeight="17415" xr2:uid="{00000000-000D-0000-FFFF-FFFF00000000}"/>
  </bookViews>
  <sheets>
    <sheet name="2018 Structure" sheetId="6" r:id="rId1"/>
  </sheets>
  <definedNames>
    <definedName name="_xlnm._FilterDatabase" localSheetId="0" hidden="1">'2018 Structure'!$A$1:$E$1448</definedName>
    <definedName name="_xlnm.Print_Titles" localSheetId="0">'2018 Structure'!$1:$1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I2" i="6"/>
  <c r="I3" i="6"/>
  <c r="I4" i="6"/>
  <c r="I5" i="6"/>
  <c r="I6" i="6"/>
  <c r="I7" i="6" s="1"/>
  <c r="I8" i="6"/>
  <c r="I9" i="6"/>
  <c r="I10" i="6"/>
  <c r="I11" i="6"/>
  <c r="I12" i="6"/>
  <c r="I13" i="6"/>
  <c r="I14" i="6"/>
  <c r="I15" i="6" s="1"/>
  <c r="I16" i="6"/>
  <c r="I17" i="6"/>
  <c r="I18" i="6" s="1"/>
  <c r="I19" i="6"/>
  <c r="I20" i="6"/>
  <c r="I21" i="6"/>
  <c r="I22" i="6" s="1"/>
  <c r="I23" i="6"/>
  <c r="I24" i="6" s="1"/>
  <c r="I25" i="6"/>
  <c r="I26" i="6" s="1"/>
  <c r="I27" i="6"/>
  <c r="I28" i="6"/>
  <c r="I29" i="6"/>
  <c r="I30" i="6"/>
  <c r="I31" i="6"/>
  <c r="I32" i="6"/>
  <c r="I33" i="6"/>
  <c r="I34" i="6" s="1"/>
  <c r="I35" i="6"/>
  <c r="I36" i="6" s="1"/>
  <c r="I37" i="6"/>
  <c r="I38" i="6" s="1"/>
  <c r="I39" i="6"/>
  <c r="I40" i="6"/>
  <c r="I41" i="6"/>
  <c r="I42" i="6"/>
  <c r="I43" i="6"/>
  <c r="I44" i="6"/>
  <c r="I45" i="6" s="1"/>
  <c r="I46" i="6" s="1"/>
  <c r="I47" i="6" s="1"/>
  <c r="I48" i="6" s="1"/>
  <c r="I49" i="6"/>
  <c r="I50" i="6" s="1"/>
  <c r="I51" i="6"/>
  <c r="I52" i="6" s="1"/>
  <c r="I53" i="6"/>
  <c r="I54" i="6" s="1"/>
  <c r="I55" i="6" s="1"/>
  <c r="I56" i="6"/>
  <c r="I57" i="6"/>
  <c r="I58" i="6"/>
  <c r="I59" i="6" s="1"/>
  <c r="I60" i="6"/>
  <c r="I61" i="6" s="1"/>
  <c r="I62" i="6"/>
  <c r="I63" i="6" s="1"/>
  <c r="I64" i="6"/>
  <c r="I65" i="6"/>
  <c r="I66" i="6"/>
  <c r="I67" i="6"/>
  <c r="I68" i="6"/>
  <c r="I69" i="6"/>
  <c r="I70" i="6"/>
  <c r="I71" i="6" s="1"/>
  <c r="I72" i="6" s="1"/>
  <c r="I73" i="6"/>
  <c r="I74" i="6"/>
  <c r="I75" i="6"/>
  <c r="I76" i="6"/>
  <c r="I77" i="6"/>
  <c r="I78" i="6"/>
  <c r="I79" i="6"/>
  <c r="I80" i="6"/>
  <c r="I81" i="6"/>
  <c r="I82" i="6" s="1"/>
  <c r="I83" i="6"/>
  <c r="I84" i="6" s="1"/>
  <c r="I85" i="6" s="1"/>
  <c r="I86" i="6"/>
  <c r="I87" i="6" s="1"/>
  <c r="I88" i="6"/>
  <c r="I89" i="6"/>
  <c r="I90" i="6"/>
  <c r="I91" i="6" s="1"/>
  <c r="I92" i="6" s="1"/>
  <c r="I93" i="6" s="1"/>
  <c r="I94" i="6"/>
  <c r="I95" i="6" s="1"/>
  <c r="I96" i="6" s="1"/>
  <c r="I97" i="6"/>
  <c r="I98" i="6" s="1"/>
  <c r="I99" i="6"/>
  <c r="I100" i="6" s="1"/>
  <c r="I101" i="6"/>
  <c r="I102" i="6" s="1"/>
  <c r="I103" i="6"/>
  <c r="I104" i="6" s="1"/>
  <c r="I105" i="6"/>
  <c r="I106" i="6"/>
  <c r="I107" i="6"/>
  <c r="I108" i="6"/>
  <c r="I109" i="6"/>
  <c r="I110" i="6"/>
  <c r="I111" i="6"/>
  <c r="I112" i="6"/>
  <c r="I113" i="6"/>
  <c r="I114" i="6"/>
  <c r="I115" i="6"/>
  <c r="I116" i="6" s="1"/>
  <c r="I117" i="6"/>
  <c r="I118" i="6" s="1"/>
  <c r="I119" i="6"/>
  <c r="I120" i="6" s="1"/>
  <c r="I121" i="6"/>
  <c r="I122" i="6"/>
  <c r="I123" i="6" s="1"/>
  <c r="I124" i="6" s="1"/>
  <c r="I125" i="6" s="1"/>
  <c r="I126" i="6"/>
  <c r="I127" i="6" s="1"/>
  <c r="I128" i="6"/>
  <c r="I129" i="6"/>
  <c r="I130" i="6" s="1"/>
  <c r="I131" i="6"/>
  <c r="I132" i="6" s="1"/>
  <c r="I133" i="6" s="1"/>
  <c r="I134" i="6"/>
  <c r="I135" i="6" s="1"/>
  <c r="I136" i="6"/>
  <c r="I137" i="6"/>
  <c r="I138" i="6"/>
  <c r="I139" i="6" s="1"/>
  <c r="I140" i="6" s="1"/>
  <c r="I141" i="6"/>
  <c r="I142" i="6"/>
  <c r="I143" i="6"/>
  <c r="I144" i="6"/>
  <c r="I145" i="6"/>
  <c r="I146" i="6"/>
  <c r="I147" i="6"/>
  <c r="I148" i="6" s="1"/>
  <c r="I149" i="6" s="1"/>
  <c r="I150" i="6" s="1"/>
  <c r="I151" i="6"/>
  <c r="I152" i="6" s="1"/>
  <c r="I153" i="6" s="1"/>
  <c r="I154" i="6" s="1"/>
  <c r="I155" i="6" s="1"/>
  <c r="I156" i="6" s="1"/>
  <c r="I157" i="6"/>
  <c r="I158" i="6"/>
  <c r="I159" i="6"/>
  <c r="I160" i="6"/>
  <c r="I161" i="6"/>
  <c r="I162" i="6"/>
  <c r="I163" i="6" s="1"/>
  <c r="I164" i="6"/>
  <c r="I165" i="6"/>
  <c r="I166" i="6"/>
  <c r="I167" i="6" s="1"/>
  <c r="I168" i="6"/>
  <c r="I169" i="6"/>
  <c r="I170" i="6"/>
  <c r="I171" i="6" s="1"/>
  <c r="I172" i="6"/>
  <c r="I173" i="6"/>
  <c r="I174" i="6"/>
  <c r="I175" i="6" s="1"/>
  <c r="I176" i="6" s="1"/>
  <c r="I177" i="6"/>
  <c r="I178" i="6" s="1"/>
  <c r="I179" i="6" s="1"/>
  <c r="I180" i="6"/>
  <c r="I181" i="6"/>
  <c r="I182" i="6" s="1"/>
  <c r="I183" i="6"/>
  <c r="I184" i="6" s="1"/>
  <c r="I185" i="6"/>
  <c r="I186" i="6"/>
  <c r="I187" i="6"/>
  <c r="I188" i="6"/>
  <c r="I189" i="6"/>
  <c r="I190" i="6"/>
  <c r="I191" i="6"/>
  <c r="I192" i="6"/>
  <c r="I193" i="6"/>
  <c r="I194" i="6" s="1"/>
  <c r="I195" i="6" s="1"/>
  <c r="I196" i="6"/>
  <c r="I197" i="6"/>
  <c r="I198" i="6"/>
  <c r="I199" i="6" s="1"/>
  <c r="I200" i="6" s="1"/>
  <c r="I201" i="6"/>
  <c r="I202" i="6"/>
  <c r="I203" i="6"/>
  <c r="I204" i="6"/>
  <c r="I205" i="6"/>
  <c r="I206" i="6"/>
  <c r="I207" i="6"/>
  <c r="I208" i="6"/>
  <c r="I209" i="6"/>
  <c r="I210" i="6" s="1"/>
  <c r="I211" i="6"/>
  <c r="I212" i="6" s="1"/>
  <c r="I213" i="6"/>
  <c r="I214" i="6" s="1"/>
  <c r="I215" i="6"/>
  <c r="I216" i="6"/>
  <c r="I217" i="6"/>
  <c r="I218" i="6"/>
  <c r="I219" i="6" s="1"/>
  <c r="I220" i="6" s="1"/>
  <c r="I221" i="6"/>
  <c r="I222" i="6"/>
  <c r="I223" i="6" s="1"/>
  <c r="I224" i="6" s="1"/>
  <c r="I225" i="6" s="1"/>
  <c r="I226" i="6" s="1"/>
  <c r="I227" i="6" s="1"/>
  <c r="I228" i="6" s="1"/>
  <c r="I229" i="6" s="1"/>
  <c r="I230" i="6" s="1"/>
  <c r="I231" i="6"/>
  <c r="I232" i="6" s="1"/>
  <c r="I233" i="6"/>
  <c r="I234" i="6"/>
  <c r="I235" i="6"/>
  <c r="I236" i="6"/>
  <c r="I237" i="6" s="1"/>
  <c r="I238" i="6" s="1"/>
  <c r="I239" i="6"/>
  <c r="I240" i="6"/>
  <c r="I241" i="6"/>
  <c r="I242" i="6" s="1"/>
  <c r="I243" i="6" s="1"/>
  <c r="I244" i="6"/>
  <c r="I245" i="6"/>
  <c r="I246" i="6" s="1"/>
  <c r="I247" i="6"/>
  <c r="I248" i="6" s="1"/>
  <c r="I249" i="6" s="1"/>
  <c r="I250" i="6"/>
  <c r="I251" i="6" s="1"/>
  <c r="I252" i="6"/>
  <c r="I253" i="6"/>
  <c r="I254" i="6"/>
  <c r="I255" i="6" s="1"/>
  <c r="I256" i="6"/>
  <c r="I257" i="6"/>
  <c r="I258" i="6"/>
  <c r="I259" i="6" s="1"/>
  <c r="I260" i="6" s="1"/>
  <c r="I261" i="6"/>
  <c r="I262" i="6" s="1"/>
  <c r="I263" i="6" s="1"/>
  <c r="I264" i="6" s="1"/>
  <c r="I265" i="6"/>
  <c r="I266" i="6"/>
  <c r="I267" i="6"/>
  <c r="I268" i="6"/>
  <c r="I269" i="6" s="1"/>
  <c r="I270" i="6"/>
  <c r="I271" i="6" s="1"/>
  <c r="I272" i="6"/>
  <c r="I273" i="6"/>
  <c r="I274" i="6" s="1"/>
  <c r="I275" i="6" s="1"/>
  <c r="I276" i="6" s="1"/>
  <c r="I277" i="6"/>
  <c r="I278" i="6" s="1"/>
  <c r="I279" i="6"/>
  <c r="I280" i="6" s="1"/>
  <c r="I281" i="6"/>
  <c r="I282" i="6"/>
  <c r="I283" i="6" s="1"/>
  <c r="I284" i="6" s="1"/>
  <c r="I285" i="6" s="1"/>
  <c r="I286" i="6" s="1"/>
  <c r="I287" i="6"/>
  <c r="I288" i="6"/>
  <c r="I289" i="6"/>
  <c r="I290" i="6" s="1"/>
  <c r="I291" i="6"/>
  <c r="I292" i="6" s="1"/>
  <c r="I293" i="6"/>
  <c r="I294" i="6" s="1"/>
  <c r="I295" i="6"/>
  <c r="I296" i="6" s="1"/>
  <c r="I297" i="6" s="1"/>
  <c r="I298" i="6" s="1"/>
  <c r="I299" i="6"/>
  <c r="I300" i="6"/>
  <c r="I301" i="6"/>
  <c r="I302" i="6"/>
  <c r="I303" i="6"/>
  <c r="I304" i="6"/>
  <c r="I305" i="6"/>
  <c r="I306" i="6" s="1"/>
  <c r="I307" i="6" s="1"/>
  <c r="I308" i="6"/>
  <c r="I309" i="6"/>
  <c r="I310" i="6" s="1"/>
  <c r="I311" i="6" s="1"/>
  <c r="I312" i="6"/>
  <c r="I313" i="6"/>
  <c r="I314" i="6"/>
  <c r="I315" i="6" s="1"/>
  <c r="I316" i="6" s="1"/>
  <c r="I317" i="6" s="1"/>
  <c r="I318" i="6" s="1"/>
  <c r="I319" i="6" s="1"/>
  <c r="I320" i="6" s="1"/>
  <c r="I321" i="6"/>
  <c r="I322" i="6" s="1"/>
  <c r="I323" i="6" s="1"/>
  <c r="I324" i="6" s="1"/>
  <c r="I325" i="6" s="1"/>
  <c r="I326" i="6"/>
  <c r="I327" i="6" s="1"/>
  <c r="I328" i="6" s="1"/>
  <c r="I329" i="6" s="1"/>
  <c r="I330" i="6" s="1"/>
  <c r="I331" i="6" s="1"/>
  <c r="I332" i="6"/>
  <c r="I333" i="6"/>
  <c r="I334" i="6"/>
  <c r="I335" i="6"/>
  <c r="I336" i="6"/>
  <c r="I337" i="6"/>
  <c r="I338" i="6" s="1"/>
  <c r="I339" i="6"/>
  <c r="I340" i="6"/>
  <c r="I341" i="6"/>
  <c r="I342" i="6" s="1"/>
  <c r="I343" i="6" s="1"/>
  <c r="I344" i="6"/>
  <c r="I345" i="6"/>
  <c r="I346" i="6"/>
  <c r="I347" i="6" s="1"/>
  <c r="I348" i="6"/>
  <c r="I349" i="6"/>
  <c r="I350" i="6"/>
  <c r="I351" i="6"/>
  <c r="I352" i="6"/>
  <c r="I353" i="6"/>
  <c r="I354" i="6"/>
  <c r="I355" i="6"/>
  <c r="I356" i="6"/>
  <c r="I357" i="6"/>
  <c r="I358" i="6"/>
  <c r="I359" i="6" s="1"/>
  <c r="I360" i="6" s="1"/>
  <c r="I361" i="6"/>
  <c r="I362" i="6"/>
  <c r="I363" i="6" s="1"/>
  <c r="I364" i="6"/>
  <c r="I365" i="6" s="1"/>
  <c r="I366" i="6" s="1"/>
  <c r="I367" i="6" s="1"/>
  <c r="I368" i="6"/>
  <c r="I369" i="6"/>
  <c r="I370" i="6" s="1"/>
  <c r="I371" i="6" s="1"/>
  <c r="I372" i="6" s="1"/>
  <c r="I373" i="6"/>
  <c r="I374" i="6" s="1"/>
  <c r="I375" i="6" s="1"/>
  <c r="I376" i="6" s="1"/>
  <c r="I377" i="6" s="1"/>
  <c r="I378" i="6" s="1"/>
  <c r="I379" i="6" s="1"/>
  <c r="I380" i="6" s="1"/>
  <c r="I381" i="6" s="1"/>
  <c r="I382" i="6"/>
  <c r="I383" i="6" s="1"/>
  <c r="I384" i="6" s="1"/>
  <c r="I385" i="6"/>
  <c r="I386" i="6" s="1"/>
  <c r="I387" i="6" s="1"/>
  <c r="I388" i="6"/>
  <c r="I389" i="6"/>
  <c r="I390" i="6" s="1"/>
  <c r="I391" i="6" s="1"/>
  <c r="I392" i="6"/>
  <c r="I393" i="6"/>
  <c r="I394" i="6"/>
  <c r="I395" i="6" s="1"/>
  <c r="I396" i="6" s="1"/>
  <c r="I397" i="6" s="1"/>
  <c r="I398" i="6" s="1"/>
  <c r="I399" i="6"/>
  <c r="I400" i="6"/>
  <c r="I401" i="6"/>
  <c r="I402" i="6" s="1"/>
  <c r="I403" i="6" s="1"/>
  <c r="I404" i="6"/>
  <c r="I405" i="6"/>
  <c r="I406" i="6" s="1"/>
  <c r="I407" i="6" s="1"/>
  <c r="I408" i="6"/>
  <c r="I409" i="6"/>
  <c r="I410" i="6"/>
  <c r="I411" i="6" s="1"/>
  <c r="I412" i="6"/>
  <c r="I413" i="6" s="1"/>
  <c r="I414" i="6" s="1"/>
  <c r="I415" i="6"/>
  <c r="I416" i="6"/>
  <c r="I417" i="6"/>
  <c r="I418" i="6" s="1"/>
  <c r="I419" i="6" s="1"/>
  <c r="I420" i="6" s="1"/>
  <c r="I421" i="6" s="1"/>
  <c r="I422" i="6"/>
  <c r="I423" i="6"/>
  <c r="I424" i="6" s="1"/>
  <c r="I425" i="6"/>
  <c r="I426" i="6"/>
  <c r="I427" i="6"/>
  <c r="I428" i="6"/>
  <c r="I429" i="6"/>
  <c r="I430" i="6"/>
  <c r="I431" i="6"/>
  <c r="I432" i="6"/>
  <c r="I433" i="6"/>
  <c r="I434" i="6"/>
  <c r="I435" i="6"/>
  <c r="I436" i="6" s="1"/>
  <c r="I437" i="6" s="1"/>
  <c r="I438" i="6"/>
  <c r="I439" i="6" s="1"/>
  <c r="I440" i="6"/>
  <c r="I441" i="6"/>
  <c r="I442" i="6"/>
  <c r="I443" i="6"/>
  <c r="I444" i="6"/>
  <c r="I445" i="6"/>
  <c r="I446" i="6"/>
  <c r="I447" i="6"/>
  <c r="I448" i="6"/>
  <c r="I449" i="6"/>
  <c r="I450" i="6" s="1"/>
  <c r="I451" i="6" s="1"/>
  <c r="I452" i="6"/>
  <c r="I453" i="6"/>
  <c r="I454" i="6"/>
  <c r="I455" i="6"/>
  <c r="I456" i="6"/>
  <c r="I457" i="6"/>
  <c r="I458" i="6"/>
  <c r="I459" i="6" s="1"/>
  <c r="I460" i="6" s="1"/>
  <c r="I461" i="6" s="1"/>
  <c r="I462" i="6"/>
  <c r="I463" i="6" s="1"/>
  <c r="I464" i="6" s="1"/>
  <c r="I465" i="6" s="1"/>
  <c r="I466" i="6" s="1"/>
  <c r="I467" i="6" s="1"/>
  <c r="I468" i="6" s="1"/>
  <c r="I469" i="6" s="1"/>
  <c r="I470" i="6" s="1"/>
  <c r="I471" i="6"/>
  <c r="I472" i="6"/>
  <c r="I473" i="6"/>
  <c r="I474" i="6"/>
  <c r="I475" i="6"/>
  <c r="I476" i="6"/>
  <c r="I477" i="6" s="1"/>
  <c r="I478" i="6" s="1"/>
  <c r="I479" i="6"/>
  <c r="I480" i="6"/>
  <c r="I481" i="6"/>
  <c r="I482" i="6"/>
  <c r="I483" i="6"/>
  <c r="I484" i="6"/>
  <c r="I485" i="6"/>
  <c r="I486" i="6" s="1"/>
  <c r="I487" i="6" s="1"/>
  <c r="I488" i="6"/>
  <c r="I489" i="6"/>
  <c r="I490" i="6"/>
  <c r="I491" i="6"/>
  <c r="I492" i="6"/>
  <c r="I493" i="6"/>
  <c r="I494" i="6"/>
  <c r="I495" i="6"/>
  <c r="I496" i="6"/>
  <c r="I497" i="6"/>
  <c r="I498" i="6" s="1"/>
  <c r="I499" i="6"/>
  <c r="I500" i="6"/>
  <c r="I501" i="6"/>
  <c r="I502" i="6" s="1"/>
  <c r="I503" i="6"/>
  <c r="I504" i="6"/>
  <c r="I505" i="6"/>
  <c r="I506" i="6"/>
  <c r="I507" i="6" s="1"/>
  <c r="I508" i="6" s="1"/>
  <c r="I509" i="6"/>
  <c r="I510" i="6"/>
  <c r="I511" i="6"/>
  <c r="I512" i="6"/>
  <c r="I513" i="6"/>
  <c r="I514" i="6"/>
  <c r="I515" i="6"/>
  <c r="I516" i="6"/>
  <c r="I517" i="6"/>
  <c r="I518" i="6"/>
  <c r="I519" i="6" s="1"/>
  <c r="I520" i="6"/>
  <c r="I521" i="6"/>
  <c r="I522" i="6"/>
  <c r="I523" i="6" s="1"/>
  <c r="I524" i="6" s="1"/>
  <c r="I525" i="6" s="1"/>
  <c r="I526" i="6"/>
  <c r="I527" i="6" s="1"/>
  <c r="I528" i="6"/>
  <c r="I529" i="6"/>
  <c r="I530" i="6"/>
  <c r="I531" i="6" s="1"/>
  <c r="I532" i="6"/>
  <c r="I533" i="6"/>
  <c r="I534" i="6"/>
  <c r="I535" i="6" s="1"/>
  <c r="I536" i="6"/>
  <c r="I537" i="6"/>
  <c r="I538" i="6"/>
  <c r="I539" i="6" s="1"/>
  <c r="I540" i="6" s="1"/>
  <c r="I541" i="6" s="1"/>
  <c r="I542" i="6" s="1"/>
  <c r="I543" i="6" s="1"/>
  <c r="I544" i="6" s="1"/>
  <c r="I545" i="6"/>
  <c r="I546" i="6" s="1"/>
  <c r="I547" i="6"/>
  <c r="I548" i="6"/>
  <c r="I549" i="6"/>
  <c r="I550" i="6" s="1"/>
  <c r="I551" i="6"/>
  <c r="I552" i="6" s="1"/>
  <c r="I553" i="6"/>
  <c r="I554" i="6"/>
  <c r="I555" i="6"/>
  <c r="I556" i="6"/>
  <c r="I557" i="6"/>
  <c r="I558" i="6"/>
  <c r="I559" i="6" s="1"/>
  <c r="I560" i="6" s="1"/>
  <c r="I561" i="6" s="1"/>
  <c r="I562" i="6" s="1"/>
  <c r="I563" i="6" s="1"/>
  <c r="I564" i="6" s="1"/>
  <c r="I565" i="6" s="1"/>
  <c r="I566" i="6" s="1"/>
  <c r="I567" i="6" s="1"/>
  <c r="I568" i="6" s="1"/>
  <c r="I569" i="6" s="1"/>
  <c r="I570" i="6" s="1"/>
  <c r="I571" i="6"/>
  <c r="I572" i="6"/>
  <c r="I573" i="6" s="1"/>
  <c r="I574" i="6" s="1"/>
  <c r="I575" i="6" s="1"/>
  <c r="I576" i="6"/>
  <c r="I577" i="6"/>
  <c r="I578" i="6" s="1"/>
  <c r="I579" i="6" s="1"/>
  <c r="I580" i="6"/>
  <c r="I581" i="6"/>
  <c r="I582" i="6" s="1"/>
  <c r="I583" i="6" s="1"/>
  <c r="I584" i="6"/>
  <c r="I585" i="6"/>
  <c r="I586" i="6"/>
  <c r="I587" i="6" s="1"/>
  <c r="I588" i="6" s="1"/>
  <c r="I589" i="6" s="1"/>
  <c r="I590" i="6" s="1"/>
  <c r="I591" i="6"/>
  <c r="I592" i="6"/>
  <c r="I593" i="6"/>
  <c r="I594" i="6"/>
  <c r="I595" i="6" s="1"/>
  <c r="I596" i="6" s="1"/>
  <c r="I597" i="6" s="1"/>
  <c r="I598" i="6" s="1"/>
  <c r="I599" i="6" s="1"/>
  <c r="I600" i="6" s="1"/>
  <c r="I601" i="6"/>
  <c r="I602" i="6"/>
  <c r="I603" i="6"/>
  <c r="I604" i="6"/>
  <c r="I605" i="6"/>
  <c r="I606" i="6"/>
  <c r="I607" i="6"/>
  <c r="I608" i="6"/>
  <c r="I609" i="6"/>
  <c r="I610" i="6" s="1"/>
  <c r="I611" i="6"/>
  <c r="I612" i="6"/>
  <c r="I613" i="6"/>
  <c r="I614" i="6"/>
  <c r="I615" i="6" s="1"/>
  <c r="I616" i="6" s="1"/>
  <c r="I617" i="6" s="1"/>
  <c r="I618" i="6" s="1"/>
  <c r="I619" i="6"/>
  <c r="I620" i="6"/>
  <c r="I621" i="6"/>
  <c r="I622" i="6"/>
  <c r="I623" i="6" s="1"/>
  <c r="I624" i="6"/>
  <c r="I625" i="6"/>
  <c r="I626" i="6" s="1"/>
  <c r="I627" i="6" s="1"/>
  <c r="I628" i="6"/>
  <c r="I629" i="6"/>
  <c r="I630" i="6" s="1"/>
  <c r="I631" i="6" s="1"/>
  <c r="I632" i="6"/>
  <c r="I633" i="6"/>
  <c r="I634" i="6"/>
  <c r="I635" i="6"/>
  <c r="I636" i="6"/>
  <c r="I637" i="6" s="1"/>
  <c r="I638" i="6"/>
  <c r="I639" i="6" s="1"/>
  <c r="I640" i="6" s="1"/>
  <c r="I641" i="6" s="1"/>
  <c r="I642" i="6" s="1"/>
  <c r="I643" i="6" s="1"/>
  <c r="I644" i="6" s="1"/>
  <c r="I645" i="6" s="1"/>
  <c r="I646" i="6" s="1"/>
  <c r="I647" i="6"/>
  <c r="I648" i="6"/>
  <c r="I649" i="6"/>
  <c r="I650" i="6"/>
  <c r="I651" i="6" s="1"/>
  <c r="I652" i="6"/>
  <c r="I653" i="6" s="1"/>
  <c r="I654" i="6"/>
  <c r="I655" i="6" s="1"/>
  <c r="I656" i="6" s="1"/>
  <c r="I657" i="6"/>
  <c r="I658" i="6"/>
  <c r="I659" i="6"/>
  <c r="I660" i="6"/>
  <c r="I661" i="6"/>
  <c r="I662" i="6" s="1"/>
  <c r="I663" i="6"/>
  <c r="I664" i="6"/>
  <c r="I665" i="6"/>
  <c r="I666" i="6"/>
  <c r="I667" i="6"/>
  <c r="I668" i="6"/>
  <c r="I669" i="6"/>
  <c r="I670" i="6"/>
  <c r="I671" i="6"/>
  <c r="I672" i="6"/>
  <c r="I673" i="6"/>
  <c r="I674" i="6" s="1"/>
  <c r="I675" i="6" s="1"/>
  <c r="I676" i="6"/>
  <c r="I677" i="6"/>
  <c r="I678" i="6" s="1"/>
  <c r="I679" i="6"/>
  <c r="I680" i="6" s="1"/>
  <c r="I681" i="6"/>
  <c r="I682" i="6"/>
  <c r="I683" i="6" s="1"/>
  <c r="I684" i="6"/>
  <c r="I685" i="6" s="1"/>
  <c r="I686" i="6" s="1"/>
  <c r="I687" i="6" s="1"/>
  <c r="I688" i="6" s="1"/>
  <c r="I689" i="6" s="1"/>
  <c r="I690" i="6"/>
  <c r="I691" i="6"/>
  <c r="I692" i="6"/>
  <c r="I693" i="6"/>
  <c r="I694" i="6" s="1"/>
  <c r="I695" i="6"/>
  <c r="I696" i="6"/>
  <c r="I697" i="6"/>
  <c r="I698" i="6"/>
  <c r="I699" i="6" s="1"/>
  <c r="I700" i="6" s="1"/>
  <c r="I701" i="6" s="1"/>
  <c r="I702" i="6" s="1"/>
  <c r="I703" i="6"/>
  <c r="I704" i="6"/>
  <c r="I705" i="6"/>
  <c r="I706" i="6"/>
  <c r="I707" i="6"/>
  <c r="I708" i="6"/>
  <c r="I709" i="6" s="1"/>
  <c r="I710" i="6"/>
  <c r="I711" i="6" s="1"/>
  <c r="I712" i="6"/>
  <c r="I713" i="6"/>
  <c r="I714" i="6"/>
  <c r="I715" i="6"/>
  <c r="I716" i="6"/>
  <c r="I717" i="6"/>
  <c r="I718" i="6"/>
  <c r="I719" i="6"/>
  <c r="I720" i="6"/>
  <c r="I721" i="6"/>
  <c r="I722" i="6" s="1"/>
  <c r="I723" i="6"/>
  <c r="I724" i="6"/>
  <c r="I725" i="6"/>
  <c r="I726" i="6" s="1"/>
  <c r="I727" i="6" s="1"/>
  <c r="I728" i="6"/>
  <c r="I729" i="6"/>
  <c r="I730" i="6"/>
  <c r="I731" i="6" s="1"/>
  <c r="I732" i="6" s="1"/>
  <c r="I733" i="6"/>
  <c r="I734" i="6"/>
  <c r="I735" i="6"/>
  <c r="I736" i="6"/>
  <c r="I737" i="6"/>
  <c r="I738" i="6" s="1"/>
  <c r="I739" i="6" s="1"/>
  <c r="I740" i="6" s="1"/>
  <c r="I741" i="6"/>
  <c r="I742" i="6"/>
  <c r="I743" i="6"/>
  <c r="I744" i="6" s="1"/>
  <c r="I745" i="6" s="1"/>
  <c r="I746" i="6"/>
  <c r="I747" i="6" s="1"/>
  <c r="I748" i="6"/>
  <c r="I749" i="6"/>
  <c r="I750" i="6"/>
  <c r="I751" i="6"/>
  <c r="I752" i="6"/>
  <c r="I753" i="6"/>
  <c r="I754" i="6"/>
  <c r="I755" i="6"/>
  <c r="I756" i="6"/>
  <c r="I757" i="6"/>
  <c r="I758" i="6"/>
  <c r="I759" i="6" s="1"/>
  <c r="I760" i="6"/>
  <c r="I761" i="6"/>
  <c r="I762" i="6"/>
  <c r="I763" i="6" s="1"/>
  <c r="I764" i="6" s="1"/>
  <c r="I765" i="6" s="1"/>
  <c r="I766" i="6" s="1"/>
  <c r="I767" i="6"/>
  <c r="I768" i="6"/>
  <c r="I769" i="6"/>
  <c r="I770" i="6" s="1"/>
  <c r="I771" i="6"/>
  <c r="I772" i="6"/>
  <c r="I773" i="6"/>
  <c r="I774" i="6" s="1"/>
  <c r="I775" i="6"/>
  <c r="I776" i="6"/>
  <c r="I777" i="6"/>
  <c r="I778" i="6"/>
  <c r="I779" i="6"/>
  <c r="I780" i="6"/>
  <c r="I781" i="6" s="1"/>
  <c r="I782" i="6" s="1"/>
  <c r="I783" i="6" s="1"/>
  <c r="I784" i="6"/>
  <c r="I785" i="6"/>
  <c r="I786" i="6" s="1"/>
  <c r="I787" i="6" s="1"/>
  <c r="I788" i="6"/>
  <c r="I789" i="6"/>
  <c r="I790" i="6" s="1"/>
  <c r="I791" i="6" s="1"/>
  <c r="I792" i="6"/>
  <c r="I793" i="6"/>
  <c r="I794" i="6"/>
  <c r="I795" i="6"/>
  <c r="I796" i="6"/>
  <c r="I797" i="6" s="1"/>
  <c r="I798" i="6"/>
  <c r="I799" i="6" s="1"/>
  <c r="I800" i="6"/>
  <c r="I801" i="6"/>
  <c r="I802" i="6"/>
  <c r="I803" i="6"/>
  <c r="I804" i="6"/>
  <c r="I805" i="6" s="1"/>
  <c r="I806" i="6" s="1"/>
  <c r="I807" i="6"/>
  <c r="I808" i="6"/>
  <c r="I809" i="6"/>
  <c r="I810" i="6"/>
  <c r="I811" i="6"/>
  <c r="I812" i="6"/>
  <c r="I813" i="6" s="1"/>
  <c r="I814" i="6"/>
  <c r="I815" i="6" s="1"/>
  <c r="I816" i="6"/>
  <c r="I817" i="6"/>
  <c r="I818" i="6" s="1"/>
  <c r="I819" i="6"/>
  <c r="I820" i="6"/>
  <c r="I821" i="6"/>
  <c r="I822" i="6" s="1"/>
  <c r="I823" i="6"/>
  <c r="I824" i="6" s="1"/>
  <c r="I825" i="6"/>
  <c r="I826" i="6"/>
  <c r="I827" i="6"/>
  <c r="I828" i="6"/>
  <c r="I829" i="6" s="1"/>
  <c r="I830" i="6" s="1"/>
  <c r="I831" i="6"/>
  <c r="I832" i="6"/>
  <c r="I833" i="6"/>
  <c r="I834" i="6" s="1"/>
  <c r="I835" i="6"/>
  <c r="I836" i="6"/>
  <c r="I837" i="6"/>
  <c r="I838" i="6"/>
  <c r="I839" i="6" s="1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 s="1"/>
  <c r="I854" i="6"/>
  <c r="I855" i="6" s="1"/>
  <c r="I856" i="6"/>
  <c r="I857" i="6"/>
  <c r="I858" i="6"/>
  <c r="I859" i="6"/>
  <c r="I860" i="6"/>
  <c r="I861" i="6"/>
  <c r="I862" i="6"/>
  <c r="I863" i="6"/>
  <c r="I864" i="6"/>
  <c r="I865" i="6"/>
  <c r="I866" i="6" s="1"/>
  <c r="I867" i="6"/>
  <c r="I868" i="6"/>
  <c r="I869" i="6"/>
  <c r="I870" i="6" s="1"/>
  <c r="I871" i="6"/>
  <c r="I872" i="6" s="1"/>
  <c r="I873" i="6"/>
  <c r="I874" i="6"/>
  <c r="I875" i="6"/>
  <c r="I876" i="6"/>
  <c r="I877" i="6" s="1"/>
  <c r="I878" i="6"/>
  <c r="I879" i="6" s="1"/>
  <c r="I880" i="6"/>
  <c r="I881" i="6"/>
  <c r="I882" i="6"/>
  <c r="I883" i="6"/>
  <c r="I884" i="6"/>
  <c r="I885" i="6" s="1"/>
  <c r="I886" i="6"/>
  <c r="I887" i="6" s="1"/>
  <c r="I888" i="6"/>
  <c r="I889" i="6"/>
  <c r="I890" i="6"/>
  <c r="I891" i="6"/>
  <c r="I892" i="6"/>
  <c r="I893" i="6" s="1"/>
  <c r="I894" i="6"/>
  <c r="I895" i="6" s="1"/>
  <c r="I896" i="6"/>
  <c r="I897" i="6"/>
  <c r="I898" i="6"/>
  <c r="I899" i="6"/>
  <c r="I900" i="6"/>
  <c r="I901" i="6"/>
  <c r="I902" i="6"/>
  <c r="I903" i="6" s="1"/>
  <c r="I904" i="6"/>
  <c r="I905" i="6"/>
  <c r="I906" i="6"/>
  <c r="I907" i="6"/>
  <c r="I908" i="6"/>
  <c r="I909" i="6"/>
  <c r="I910" i="6"/>
  <c r="I911" i="6"/>
  <c r="I912" i="6"/>
  <c r="I913" i="6"/>
  <c r="I914" i="6" s="1"/>
  <c r="I915" i="6" s="1"/>
  <c r="I916" i="6"/>
  <c r="I917" i="6"/>
  <c r="I918" i="6"/>
  <c r="I919" i="6" s="1"/>
  <c r="I920" i="6" s="1"/>
  <c r="I921" i="6" s="1"/>
  <c r="I922" i="6"/>
  <c r="I923" i="6"/>
  <c r="I924" i="6"/>
  <c r="I925" i="6" s="1"/>
  <c r="I926" i="6"/>
  <c r="I927" i="6" s="1"/>
  <c r="I928" i="6"/>
  <c r="I929" i="6"/>
  <c r="I930" i="6" s="1"/>
  <c r="I931" i="6" s="1"/>
  <c r="I932" i="6" s="1"/>
  <c r="I933" i="6" s="1"/>
  <c r="I934" i="6"/>
  <c r="I935" i="6"/>
  <c r="I936" i="6" s="1"/>
  <c r="I937" i="6" s="1"/>
  <c r="I938" i="6"/>
  <c r="I939" i="6"/>
  <c r="I940" i="6"/>
  <c r="I941" i="6" s="1"/>
  <c r="I942" i="6"/>
  <c r="I943" i="6" s="1"/>
  <c r="I944" i="6"/>
  <c r="I945" i="6"/>
  <c r="I946" i="6"/>
  <c r="I947" i="6"/>
  <c r="I948" i="6"/>
  <c r="I949" i="6"/>
  <c r="I950" i="6"/>
  <c r="I951" i="6" s="1"/>
  <c r="I952" i="6"/>
  <c r="I953" i="6"/>
  <c r="I954" i="6"/>
  <c r="I955" i="6"/>
  <c r="I956" i="6"/>
  <c r="I957" i="6" s="1"/>
  <c r="I958" i="6"/>
  <c r="I959" i="6"/>
  <c r="I960" i="6"/>
  <c r="I961" i="6"/>
  <c r="I962" i="6" s="1"/>
  <c r="I963" i="6"/>
  <c r="I964" i="6"/>
  <c r="I965" i="6"/>
  <c r="I966" i="6" s="1"/>
  <c r="I967" i="6" s="1"/>
  <c r="I968" i="6" s="1"/>
  <c r="I969" i="6" s="1"/>
  <c r="I970" i="6"/>
  <c r="I971" i="6"/>
  <c r="I972" i="6"/>
  <c r="I973" i="6"/>
  <c r="I974" i="6"/>
  <c r="I975" i="6" s="1"/>
  <c r="I976" i="6"/>
  <c r="I977" i="6"/>
  <c r="I978" i="6" s="1"/>
  <c r="I979" i="6" s="1"/>
  <c r="I980" i="6" s="1"/>
  <c r="I981" i="6"/>
  <c r="I982" i="6"/>
  <c r="I983" i="6"/>
  <c r="I984" i="6" s="1"/>
  <c r="I985" i="6"/>
  <c r="I986" i="6"/>
  <c r="I987" i="6"/>
  <c r="I988" i="6"/>
  <c r="I989" i="6" s="1"/>
  <c r="I990" i="6" s="1"/>
  <c r="I991" i="6"/>
  <c r="I992" i="6"/>
  <c r="I993" i="6"/>
  <c r="I994" i="6" s="1"/>
  <c r="I995" i="6" s="1"/>
  <c r="I996" i="6" s="1"/>
  <c r="I997" i="6" s="1"/>
  <c r="I998" i="6"/>
  <c r="I999" i="6" s="1"/>
  <c r="I1000" i="6" s="1"/>
  <c r="I1001" i="6"/>
  <c r="I1002" i="6" s="1"/>
  <c r="I1003" i="6"/>
  <c r="I1004" i="6"/>
  <c r="I1005" i="6" s="1"/>
  <c r="I1006" i="6" s="1"/>
  <c r="I1007" i="6"/>
  <c r="I1008" i="6"/>
  <c r="I1009" i="6"/>
  <c r="I1010" i="6"/>
  <c r="I1011" i="6"/>
  <c r="I1012" i="6"/>
  <c r="I1013" i="6" s="1"/>
  <c r="I1014" i="6"/>
  <c r="I1015" i="6" s="1"/>
  <c r="I1016" i="6" s="1"/>
  <c r="I1017" i="6"/>
  <c r="I1018" i="6" s="1"/>
  <c r="I1019" i="6" s="1"/>
  <c r="I1020" i="6"/>
  <c r="I1021" i="6" s="1"/>
  <c r="I1022" i="6" s="1"/>
  <c r="I1023" i="6"/>
  <c r="I1024" i="6"/>
  <c r="I1025" i="6"/>
  <c r="I1026" i="6" s="1"/>
  <c r="I1027" i="6"/>
  <c r="I1028" i="6"/>
  <c r="I1029" i="6"/>
  <c r="I1030" i="6" s="1"/>
  <c r="I1031" i="6"/>
  <c r="I1032" i="6" s="1"/>
  <c r="I1033" i="6"/>
  <c r="I1034" i="6" s="1"/>
  <c r="I1035" i="6"/>
  <c r="I1036" i="6"/>
  <c r="I1037" i="6" s="1"/>
  <c r="I1038" i="6" s="1"/>
  <c r="I1039" i="6" s="1"/>
  <c r="I1040" i="6" s="1"/>
  <c r="I1041" i="6" s="1"/>
  <c r="I1042" i="6" s="1"/>
  <c r="I1043" i="6" s="1"/>
  <c r="I1044" i="6"/>
  <c r="I1045" i="6"/>
  <c r="I1046" i="6" s="1"/>
  <c r="I1047" i="6"/>
  <c r="I1048" i="6" s="1"/>
  <c r="I1049" i="6"/>
  <c r="I1050" i="6" s="1"/>
  <c r="I1051" i="6"/>
  <c r="I1052" i="6"/>
  <c r="I1053" i="6"/>
  <c r="I1054" i="6"/>
  <c r="I1055" i="6"/>
  <c r="I1056" i="6"/>
  <c r="I1057" i="6"/>
  <c r="I1058" i="6" s="1"/>
  <c r="I1059" i="6"/>
  <c r="I1060" i="6"/>
  <c r="I1061" i="6" s="1"/>
  <c r="I1062" i="6"/>
  <c r="I1063" i="6"/>
  <c r="I1064" i="6" s="1"/>
  <c r="I1065" i="6" s="1"/>
  <c r="I1066" i="6" s="1"/>
  <c r="I1067" i="6"/>
  <c r="I1068" i="6"/>
  <c r="I1069" i="6" s="1"/>
  <c r="I1070" i="6"/>
  <c r="I1071" i="6" s="1"/>
  <c r="I1072" i="6"/>
  <c r="I1073" i="6"/>
  <c r="I1074" i="6" s="1"/>
  <c r="I1075" i="6" s="1"/>
  <c r="I1076" i="6" s="1"/>
  <c r="I1077" i="6"/>
  <c r="I1078" i="6" s="1"/>
  <c r="I1079" i="6"/>
  <c r="I1080" i="6" s="1"/>
  <c r="I1081" i="6"/>
  <c r="I1082" i="6" s="1"/>
  <c r="I1083" i="6"/>
  <c r="I1084" i="6"/>
  <c r="I1085" i="6"/>
  <c r="I1086" i="6"/>
  <c r="I1087" i="6"/>
  <c r="I1088" i="6"/>
  <c r="I1089" i="6"/>
  <c r="I1090" i="6"/>
  <c r="I1091" i="6"/>
  <c r="I1092" i="6"/>
  <c r="I1093" i="6" s="1"/>
  <c r="I1094" i="6" s="1"/>
  <c r="I1095" i="6"/>
  <c r="I1096" i="6" s="1"/>
  <c r="I1097" i="6" s="1"/>
  <c r="I1098" i="6" s="1"/>
  <c r="I1099" i="6" s="1"/>
  <c r="I1100" i="6" s="1"/>
  <c r="I1101" i="6" s="1"/>
  <c r="I1102" i="6" s="1"/>
  <c r="I1103" i="6" s="1"/>
  <c r="I1104" i="6"/>
  <c r="I1105" i="6"/>
  <c r="I1106" i="6" s="1"/>
  <c r="I1107" i="6"/>
  <c r="I1108" i="6"/>
  <c r="I1109" i="6" s="1"/>
  <c r="I1110" i="6" s="1"/>
  <c r="I1111" i="6"/>
  <c r="I1112" i="6" s="1"/>
  <c r="I1113" i="6"/>
  <c r="I1114" i="6" s="1"/>
  <c r="I1115" i="6" s="1"/>
  <c r="I1116" i="6" s="1"/>
  <c r="I1117" i="6"/>
  <c r="I1118" i="6"/>
  <c r="I1119" i="6" s="1"/>
  <c r="I1120" i="6" s="1"/>
  <c r="I1121" i="6"/>
  <c r="I1122" i="6" s="1"/>
  <c r="I1123" i="6" s="1"/>
  <c r="I1124" i="6" s="1"/>
  <c r="I1125" i="6"/>
  <c r="I1126" i="6"/>
  <c r="I1127" i="6"/>
  <c r="I1128" i="6" s="1"/>
  <c r="I1129" i="6"/>
  <c r="I1130" i="6" s="1"/>
  <c r="I1131" i="6"/>
  <c r="I1132" i="6"/>
  <c r="I1133" i="6"/>
  <c r="I1134" i="6"/>
  <c r="I1135" i="6" s="1"/>
  <c r="I1136" i="6" s="1"/>
  <c r="I1137" i="6" s="1"/>
  <c r="I1138" i="6"/>
  <c r="I1139" i="6"/>
  <c r="I1140" i="6"/>
  <c r="I1141" i="6"/>
  <c r="I1142" i="6" s="1"/>
  <c r="I1143" i="6" s="1"/>
  <c r="I1144" i="6" s="1"/>
  <c r="I1145" i="6" s="1"/>
  <c r="I1146" i="6" s="1"/>
  <c r="I1147" i="6"/>
  <c r="I1148" i="6"/>
  <c r="I1149" i="6"/>
  <c r="I1150" i="6"/>
  <c r="I1151" i="6"/>
  <c r="I1152" i="6"/>
  <c r="I1153" i="6"/>
  <c r="I1154" i="6" s="1"/>
  <c r="I1155" i="6" s="1"/>
  <c r="I1156" i="6" s="1"/>
  <c r="I1157" i="6" s="1"/>
  <c r="I1158" i="6" s="1"/>
  <c r="I1159" i="6" s="1"/>
  <c r="I1160" i="6"/>
  <c r="I1161" i="6"/>
  <c r="I1162" i="6"/>
  <c r="I1163" i="6"/>
  <c r="I1164" i="6"/>
  <c r="I1165" i="6"/>
  <c r="I1166" i="6"/>
  <c r="I1167" i="6"/>
  <c r="I1168" i="6"/>
  <c r="I1169" i="6"/>
  <c r="I1170" i="6" s="1"/>
  <c r="I1171" i="6"/>
  <c r="I1172" i="6"/>
  <c r="I1173" i="6"/>
  <c r="I1174" i="6" s="1"/>
  <c r="I1175" i="6"/>
  <c r="I1176" i="6" s="1"/>
  <c r="I1177" i="6"/>
  <c r="I1178" i="6" s="1"/>
  <c r="I1179" i="6"/>
  <c r="I1180" i="6"/>
  <c r="I1181" i="6" s="1"/>
  <c r="I1182" i="6"/>
  <c r="I1183" i="6"/>
  <c r="I1184" i="6"/>
  <c r="I1185" i="6"/>
  <c r="I1186" i="6" s="1"/>
  <c r="I1187" i="6" s="1"/>
  <c r="I1188" i="6" s="1"/>
  <c r="I1189" i="6"/>
  <c r="I1190" i="6" s="1"/>
  <c r="I1191" i="6" s="1"/>
  <c r="I1192" i="6" s="1"/>
  <c r="I1193" i="6" s="1"/>
  <c r="I1194" i="6"/>
  <c r="I1195" i="6"/>
  <c r="I1196" i="6"/>
  <c r="I1197" i="6" s="1"/>
  <c r="I1198" i="6" s="1"/>
  <c r="I1199" i="6"/>
  <c r="I1200" i="6"/>
  <c r="I1201" i="6"/>
  <c r="I1202" i="6" s="1"/>
  <c r="I1203" i="6" s="1"/>
  <c r="I1204" i="6" s="1"/>
  <c r="I1205" i="6"/>
  <c r="I1206" i="6" s="1"/>
  <c r="I1207" i="6"/>
  <c r="I1208" i="6" s="1"/>
  <c r="I1209" i="6" s="1"/>
  <c r="I1210" i="6"/>
  <c r="I1211" i="6"/>
  <c r="I1212" i="6"/>
  <c r="I1213" i="6"/>
  <c r="I1214" i="6"/>
  <c r="I1215" i="6" s="1"/>
  <c r="I1216" i="6"/>
  <c r="I1217" i="6"/>
  <c r="I1218" i="6"/>
  <c r="I1219" i="6"/>
  <c r="I1220" i="6"/>
  <c r="I1221" i="6" s="1"/>
  <c r="I1222" i="6" s="1"/>
  <c r="I1223" i="6"/>
  <c r="I1224" i="6" s="1"/>
  <c r="I1225" i="6" s="1"/>
  <c r="I1226" i="6" s="1"/>
  <c r="I1227" i="6" s="1"/>
  <c r="I1228" i="6" s="1"/>
  <c r="I1229" i="6"/>
  <c r="I1230" i="6"/>
  <c r="I1231" i="6" s="1"/>
  <c r="I1232" i="6" s="1"/>
  <c r="I1233" i="6" s="1"/>
  <c r="I1234" i="6"/>
  <c r="I1235" i="6"/>
  <c r="I1236" i="6"/>
  <c r="I1237" i="6"/>
  <c r="I1238" i="6" s="1"/>
  <c r="I1239" i="6"/>
  <c r="I1240" i="6" s="1"/>
  <c r="I1241" i="6"/>
  <c r="I1242" i="6" s="1"/>
  <c r="I1243" i="6" s="1"/>
  <c r="I1244" i="6"/>
  <c r="I1245" i="6" s="1"/>
  <c r="I1246" i="6" s="1"/>
  <c r="I1247" i="6"/>
  <c r="I1248" i="6"/>
  <c r="I1249" i="6"/>
  <c r="I1250" i="6" s="1"/>
  <c r="I1251" i="6" s="1"/>
  <c r="I1252" i="6"/>
  <c r="I1253" i="6" s="1"/>
  <c r="I1254" i="6" s="1"/>
  <c r="I1255" i="6" s="1"/>
  <c r="I1256" i="6" s="1"/>
  <c r="I1257" i="6"/>
  <c r="I1258" i="6"/>
  <c r="I1259" i="6"/>
  <c r="I1260" i="6"/>
  <c r="I1261" i="6" s="1"/>
  <c r="I1262" i="6"/>
  <c r="I1263" i="6" s="1"/>
  <c r="I1264" i="6" s="1"/>
  <c r="I1265" i="6"/>
  <c r="I1266" i="6" s="1"/>
  <c r="I1267" i="6" s="1"/>
  <c r="I1268" i="6"/>
  <c r="I1269" i="6" s="1"/>
  <c r="I1270" i="6"/>
  <c r="I1271" i="6"/>
  <c r="I1272" i="6" s="1"/>
  <c r="I1273" i="6" s="1"/>
  <c r="I1274" i="6" s="1"/>
  <c r="I1275" i="6"/>
  <c r="I1276" i="6"/>
  <c r="I1277" i="6"/>
  <c r="I1278" i="6"/>
  <c r="I1279" i="6"/>
  <c r="I1280" i="6"/>
  <c r="I1281" i="6"/>
  <c r="I1282" i="6" s="1"/>
  <c r="I1283" i="6" s="1"/>
  <c r="I1284" i="6"/>
  <c r="I1285" i="6"/>
  <c r="I1286" i="6" s="1"/>
  <c r="I1287" i="6" s="1"/>
  <c r="I1288" i="6"/>
  <c r="I1289" i="6"/>
  <c r="I1290" i="6" s="1"/>
  <c r="I1291" i="6" s="1"/>
  <c r="I1292" i="6"/>
  <c r="I1293" i="6" s="1"/>
  <c r="I1294" i="6" s="1"/>
  <c r="I1295" i="6"/>
  <c r="I1296" i="6"/>
  <c r="I1297" i="6"/>
  <c r="I1298" i="6" s="1"/>
  <c r="I1299" i="6"/>
  <c r="I1300" i="6"/>
  <c r="I1301" i="6"/>
  <c r="I1302" i="6" s="1"/>
  <c r="I1303" i="6"/>
  <c r="I1304" i="6" s="1"/>
  <c r="I1305" i="6" s="1"/>
  <c r="I1306" i="6" s="1"/>
  <c r="I1307" i="6"/>
  <c r="I1308" i="6"/>
  <c r="I1309" i="6"/>
  <c r="I1310" i="6"/>
  <c r="I1311" i="6" s="1"/>
  <c r="I1312" i="6"/>
  <c r="I1313" i="6"/>
  <c r="I1314" i="6"/>
  <c r="I1315" i="6"/>
  <c r="I1316" i="6"/>
  <c r="I1317" i="6"/>
  <c r="I1318" i="6" s="1"/>
  <c r="I1319" i="6"/>
  <c r="I1320" i="6" s="1"/>
  <c r="I1321" i="6" s="1"/>
  <c r="I1322" i="6" s="1"/>
  <c r="I1323" i="6" s="1"/>
  <c r="I1324" i="6" s="1"/>
  <c r="I1325" i="6" s="1"/>
  <c r="I1326" i="6" s="1"/>
  <c r="I1327" i="6" s="1"/>
  <c r="I1328" i="6" s="1"/>
  <c r="I1329" i="6"/>
  <c r="I1330" i="6"/>
  <c r="I1331" i="6"/>
  <c r="I1332" i="6"/>
  <c r="I1333" i="6"/>
  <c r="I1334" i="6" s="1"/>
  <c r="I1335" i="6" s="1"/>
  <c r="I1336" i="6" s="1"/>
  <c r="I1337" i="6"/>
  <c r="I1338" i="6"/>
  <c r="I1339" i="6"/>
  <c r="I1340" i="6"/>
  <c r="I1341" i="6"/>
  <c r="I1342" i="6"/>
  <c r="I1343" i="6" s="1"/>
  <c r="I1344" i="6"/>
  <c r="I1345" i="6"/>
  <c r="I1346" i="6"/>
  <c r="I1347" i="6"/>
  <c r="I1348" i="6"/>
  <c r="I1349" i="6"/>
  <c r="I1350" i="6" s="1"/>
  <c r="I1351" i="6" s="1"/>
  <c r="I1352" i="6" s="1"/>
  <c r="I1353" i="6"/>
  <c r="I1354" i="6" s="1"/>
  <c r="I1355" i="6" s="1"/>
  <c r="I1356" i="6" s="1"/>
  <c r="I1357" i="6" s="1"/>
  <c r="I1358" i="6"/>
  <c r="I1359" i="6" s="1"/>
  <c r="I1360" i="6"/>
  <c r="I1361" i="6"/>
  <c r="I1362" i="6" s="1"/>
  <c r="I1363" i="6" s="1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 s="1"/>
  <c r="I1383" i="6"/>
  <c r="I1384" i="6" s="1"/>
  <c r="I1385" i="6"/>
  <c r="I1386" i="6" s="1"/>
  <c r="I1387" i="6" s="1"/>
  <c r="I1388" i="6"/>
  <c r="I1389" i="6" s="1"/>
  <c r="I1390" i="6"/>
  <c r="I1391" i="6" s="1"/>
  <c r="I1392" i="6"/>
  <c r="I1393" i="6"/>
  <c r="I1394" i="6"/>
  <c r="I1395" i="6"/>
  <c r="I1396" i="6"/>
  <c r="I1397" i="6"/>
  <c r="I1398" i="6" s="1"/>
  <c r="I1399" i="6"/>
  <c r="I1400" i="6" s="1"/>
  <c r="I1401" i="6"/>
  <c r="I1402" i="6" s="1"/>
  <c r="I1403" i="6"/>
  <c r="I1404" i="6"/>
  <c r="I1405" i="6"/>
  <c r="I1406" i="6"/>
  <c r="I1407" i="6"/>
  <c r="I1408" i="6"/>
  <c r="I1409" i="6"/>
  <c r="I1410" i="6" s="1"/>
  <c r="I1411" i="6" s="1"/>
  <c r="I1412" i="6" s="1"/>
  <c r="I1413" i="6"/>
  <c r="I1414" i="6" s="1"/>
  <c r="I1415" i="6" s="1"/>
  <c r="I1416" i="6" s="1"/>
  <c r="I1417" i="6"/>
  <c r="I1418" i="6" s="1"/>
  <c r="I1419" i="6"/>
  <c r="I1420" i="6"/>
  <c r="I1421" i="6"/>
  <c r="I1422" i="6"/>
  <c r="I1423" i="6"/>
  <c r="I1424" i="6"/>
  <c r="I1425" i="6"/>
  <c r="I1426" i="6" s="1"/>
  <c r="I1427" i="6" s="1"/>
  <c r="I1428" i="6" s="1"/>
  <c r="I1429" i="6" s="1"/>
  <c r="I1430" i="6" s="1"/>
  <c r="I1431" i="6" s="1"/>
  <c r="I1432" i="6" s="1"/>
  <c r="I1433" i="6" s="1"/>
  <c r="I1434" i="6"/>
  <c r="I1435" i="6"/>
  <c r="I1436" i="6"/>
  <c r="I1437" i="6" s="1"/>
  <c r="I1438" i="6" s="1"/>
  <c r="I1439" i="6"/>
  <c r="I1440" i="6"/>
  <c r="I1441" i="6"/>
  <c r="I1442" i="6" s="1"/>
  <c r="I1443" i="6" s="1"/>
  <c r="I1444" i="6" s="1"/>
  <c r="I1445" i="6" s="1"/>
  <c r="I1446" i="6" s="1"/>
  <c r="I1447" i="6" s="1"/>
  <c r="I1448" i="6" s="1"/>
  <c r="H2" i="6"/>
  <c r="H3" i="6"/>
  <c r="H4" i="6"/>
  <c r="H5" i="6" s="1"/>
  <c r="H6" i="6" s="1"/>
  <c r="H7" i="6" s="1"/>
  <c r="H8" i="6" s="1"/>
  <c r="H9" i="6" s="1"/>
  <c r="H10" i="6"/>
  <c r="H11" i="6"/>
  <c r="H12" i="6" s="1"/>
  <c r="H13" i="6" s="1"/>
  <c r="H14" i="6" s="1"/>
  <c r="H15" i="6" s="1"/>
  <c r="H16" i="6" s="1"/>
  <c r="H17" i="6" s="1"/>
  <c r="H18" i="6" s="1"/>
  <c r="H19" i="6"/>
  <c r="H20" i="6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/>
  <c r="H76" i="6"/>
  <c r="H77" i="6"/>
  <c r="H78" i="6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/>
  <c r="H112" i="6"/>
  <c r="H113" i="6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/>
  <c r="H137" i="6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/>
  <c r="H160" i="6"/>
  <c r="H161" i="6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/>
  <c r="H173" i="6"/>
  <c r="H174" i="6"/>
  <c r="H175" i="6" s="1"/>
  <c r="H176" i="6"/>
  <c r="H177" i="6"/>
  <c r="H178" i="6" s="1"/>
  <c r="H179" i="6" s="1"/>
  <c r="H180" i="6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/>
  <c r="H216" i="6"/>
  <c r="H217" i="6" s="1"/>
  <c r="H218" i="6" s="1"/>
  <c r="H219" i="6" s="1"/>
  <c r="H220" i="6" s="1"/>
  <c r="H221" i="6" s="1"/>
  <c r="H222" i="6" s="1"/>
  <c r="H223" i="6" s="1"/>
  <c r="H224" i="6"/>
  <c r="H225" i="6"/>
  <c r="H226" i="6" s="1"/>
  <c r="H227" i="6" s="1"/>
  <c r="H228" i="6" s="1"/>
  <c r="H229" i="6" s="1"/>
  <c r="H230" i="6" s="1"/>
  <c r="H231" i="6" s="1"/>
  <c r="H232" i="6" s="1"/>
  <c r="H233" i="6"/>
  <c r="H234" i="6"/>
  <c r="H235" i="6"/>
  <c r="H236" i="6"/>
  <c r="H237" i="6"/>
  <c r="H238" i="6"/>
  <c r="H239" i="6" s="1"/>
  <c r="H240" i="6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/>
  <c r="H253" i="6"/>
  <c r="H254" i="6"/>
  <c r="H255" i="6" s="1"/>
  <c r="H256" i="6"/>
  <c r="H257" i="6"/>
  <c r="H258" i="6" s="1"/>
  <c r="H259" i="6" s="1"/>
  <c r="H260" i="6" s="1"/>
  <c r="H261" i="6" s="1"/>
  <c r="H262" i="6" s="1"/>
  <c r="H263" i="6" s="1"/>
  <c r="H264" i="6" s="1"/>
  <c r="H265" i="6" s="1"/>
  <c r="H266" i="6" s="1"/>
  <c r="H267" i="6"/>
  <c r="H268" i="6"/>
  <c r="H269" i="6"/>
  <c r="H270" i="6"/>
  <c r="H271" i="6" s="1"/>
  <c r="H272" i="6"/>
  <c r="H273" i="6" s="1"/>
  <c r="H274" i="6" s="1"/>
  <c r="H275" i="6" s="1"/>
  <c r="H276" i="6" s="1"/>
  <c r="H277" i="6" s="1"/>
  <c r="H278" i="6" s="1"/>
  <c r="H279" i="6" s="1"/>
  <c r="H280" i="6" s="1"/>
  <c r="H281" i="6" s="1"/>
  <c r="H282" i="6" s="1"/>
  <c r="H283" i="6" s="1"/>
  <c r="H284" i="6" s="1"/>
  <c r="H285" i="6" s="1"/>
  <c r="H286" i="6" s="1"/>
  <c r="H287" i="6"/>
  <c r="H288" i="6"/>
  <c r="H289" i="6"/>
  <c r="H290" i="6" s="1"/>
  <c r="H291" i="6" s="1"/>
  <c r="H292" i="6" s="1"/>
  <c r="H293" i="6" s="1"/>
  <c r="H294" i="6" s="1"/>
  <c r="H295" i="6" s="1"/>
  <c r="H296" i="6" s="1"/>
  <c r="H297" i="6" s="1"/>
  <c r="H298" i="6" s="1"/>
  <c r="H299" i="6" s="1"/>
  <c r="H300" i="6" s="1"/>
  <c r="H301" i="6" s="1"/>
  <c r="H302" i="6" s="1"/>
  <c r="H303" i="6" s="1"/>
  <c r="H304" i="6" s="1"/>
  <c r="H305" i="6" s="1"/>
  <c r="H306" i="6" s="1"/>
  <c r="H307" i="6" s="1"/>
  <c r="H308" i="6"/>
  <c r="H309" i="6"/>
  <c r="H310" i="6" s="1"/>
  <c r="H311" i="6" s="1"/>
  <c r="H312" i="6"/>
  <c r="H313" i="6"/>
  <c r="H314" i="6" s="1"/>
  <c r="H315" i="6" s="1"/>
  <c r="H316" i="6" s="1"/>
  <c r="H317" i="6" s="1"/>
  <c r="H318" i="6" s="1"/>
  <c r="H319" i="6" s="1"/>
  <c r="H320" i="6"/>
  <c r="H321" i="6" s="1"/>
  <c r="H322" i="6" s="1"/>
  <c r="H323" i="6" s="1"/>
  <c r="H324" i="6" s="1"/>
  <c r="H325" i="6" s="1"/>
  <c r="H326" i="6" s="1"/>
  <c r="H327" i="6" s="1"/>
  <c r="H328" i="6" s="1"/>
  <c r="H329" i="6" s="1"/>
  <c r="H330" i="6" s="1"/>
  <c r="H331" i="6" s="1"/>
  <c r="H332" i="6"/>
  <c r="H333" i="6"/>
  <c r="H334" i="6"/>
  <c r="H335" i="6" s="1"/>
  <c r="H336" i="6"/>
  <c r="H337" i="6" s="1"/>
  <c r="H338" i="6" s="1"/>
  <c r="H339" i="6"/>
  <c r="H340" i="6"/>
  <c r="H341" i="6"/>
  <c r="H342" i="6" s="1"/>
  <c r="H343" i="6" s="1"/>
  <c r="H344" i="6" s="1"/>
  <c r="H345" i="6" s="1"/>
  <c r="H346" i="6" s="1"/>
  <c r="H347" i="6" s="1"/>
  <c r="H348" i="6"/>
  <c r="H349" i="6"/>
  <c r="H350" i="6" s="1"/>
  <c r="H351" i="6" s="1"/>
  <c r="H352" i="6" s="1"/>
  <c r="H353" i="6" s="1"/>
  <c r="H354" i="6"/>
  <c r="H355" i="6"/>
  <c r="H356" i="6"/>
  <c r="H357" i="6"/>
  <c r="H358" i="6" s="1"/>
  <c r="H359" i="6" s="1"/>
  <c r="H360" i="6" s="1"/>
  <c r="H361" i="6" s="1"/>
  <c r="H362" i="6" s="1"/>
  <c r="H363" i="6" s="1"/>
  <c r="H364" i="6" s="1"/>
  <c r="H365" i="6" s="1"/>
  <c r="H366" i="6" s="1"/>
  <c r="H367" i="6" s="1"/>
  <c r="H368" i="6"/>
  <c r="H369" i="6"/>
  <c r="H370" i="6" s="1"/>
  <c r="H371" i="6" s="1"/>
  <c r="H372" i="6" s="1"/>
  <c r="H373" i="6" s="1"/>
  <c r="H374" i="6" s="1"/>
  <c r="H375" i="6" s="1"/>
  <c r="H376" i="6" s="1"/>
  <c r="H377" i="6" s="1"/>
  <c r="H378" i="6" s="1"/>
  <c r="H379" i="6" s="1"/>
  <c r="H380" i="6" s="1"/>
  <c r="H381" i="6" s="1"/>
  <c r="H382" i="6" s="1"/>
  <c r="H383" i="6" s="1"/>
  <c r="H384" i="6"/>
  <c r="H385" i="6"/>
  <c r="H386" i="6" s="1"/>
  <c r="H387" i="6" s="1"/>
  <c r="H388" i="6" s="1"/>
  <c r="H389" i="6" s="1"/>
  <c r="H390" i="6" s="1"/>
  <c r="H391" i="6" s="1"/>
  <c r="H392" i="6" s="1"/>
  <c r="H393" i="6" s="1"/>
  <c r="H394" i="6" s="1"/>
  <c r="H395" i="6" s="1"/>
  <c r="H396" i="6" s="1"/>
  <c r="H397" i="6" s="1"/>
  <c r="H398" i="6" s="1"/>
  <c r="H399" i="6" s="1"/>
  <c r="H400" i="6" s="1"/>
  <c r="H401" i="6" s="1"/>
  <c r="H402" i="6" s="1"/>
  <c r="H403" i="6" s="1"/>
  <c r="H404" i="6"/>
  <c r="H405" i="6"/>
  <c r="H406" i="6"/>
  <c r="H407" i="6" s="1"/>
  <c r="H408" i="6" s="1"/>
  <c r="H409" i="6" s="1"/>
  <c r="H410" i="6" s="1"/>
  <c r="H411" i="6" s="1"/>
  <c r="H412" i="6" s="1"/>
  <c r="H413" i="6" s="1"/>
  <c r="H414" i="6" s="1"/>
  <c r="H415" i="6" s="1"/>
  <c r="H416" i="6" s="1"/>
  <c r="H417" i="6" s="1"/>
  <c r="H418" i="6" s="1"/>
  <c r="H419" i="6" s="1"/>
  <c r="H420" i="6" s="1"/>
  <c r="H421" i="6" s="1"/>
  <c r="H422" i="6"/>
  <c r="H423" i="6" s="1"/>
  <c r="H424" i="6" s="1"/>
  <c r="H425" i="6" s="1"/>
  <c r="H426" i="6" s="1"/>
  <c r="H427" i="6" s="1"/>
  <c r="H428" i="6" s="1"/>
  <c r="H429" i="6" s="1"/>
  <c r="H430" i="6" s="1"/>
  <c r="H431" i="6" s="1"/>
  <c r="H432" i="6"/>
  <c r="H433" i="6"/>
  <c r="H434" i="6" s="1"/>
  <c r="H435" i="6" s="1"/>
  <c r="H436" i="6" s="1"/>
  <c r="H437" i="6" s="1"/>
  <c r="H438" i="6" s="1"/>
  <c r="H439" i="6" s="1"/>
  <c r="H440" i="6" s="1"/>
  <c r="H441" i="6" s="1"/>
  <c r="H442" i="6"/>
  <c r="H443" i="6"/>
  <c r="H444" i="6"/>
  <c r="H445" i="6"/>
  <c r="H446" i="6" s="1"/>
  <c r="H447" i="6" s="1"/>
  <c r="H448" i="6" s="1"/>
  <c r="H449" i="6" s="1"/>
  <c r="H450" i="6" s="1"/>
  <c r="H451" i="6" s="1"/>
  <c r="H452" i="6" s="1"/>
  <c r="H453" i="6" s="1"/>
  <c r="H454" i="6"/>
  <c r="H455" i="6"/>
  <c r="H456" i="6"/>
  <c r="H457" i="6" s="1"/>
  <c r="H458" i="6" s="1"/>
  <c r="H459" i="6" s="1"/>
  <c r="H460" i="6" s="1"/>
  <c r="H461" i="6" s="1"/>
  <c r="H462" i="6" s="1"/>
  <c r="H463" i="6" s="1"/>
  <c r="H464" i="6"/>
  <c r="H465" i="6" s="1"/>
  <c r="H466" i="6" s="1"/>
  <c r="H467" i="6" s="1"/>
  <c r="H468" i="6" s="1"/>
  <c r="H469" i="6" s="1"/>
  <c r="H470" i="6" s="1"/>
  <c r="H471" i="6"/>
  <c r="H472" i="6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/>
  <c r="H489" i="6" s="1"/>
  <c r="H490" i="6" s="1"/>
  <c r="H491" i="6" s="1"/>
  <c r="H492" i="6" s="1"/>
  <c r="H493" i="6" s="1"/>
  <c r="H494" i="6" s="1"/>
  <c r="H495" i="6" s="1"/>
  <c r="H496" i="6"/>
  <c r="H497" i="6" s="1"/>
  <c r="H498" i="6" s="1"/>
  <c r="H499" i="6" s="1"/>
  <c r="H500" i="6" s="1"/>
  <c r="H501" i="6" s="1"/>
  <c r="H502" i="6" s="1"/>
  <c r="H503" i="6"/>
  <c r="H504" i="6"/>
  <c r="H505" i="6" s="1"/>
  <c r="H506" i="6" s="1"/>
  <c r="H507" i="6" s="1"/>
  <c r="H508" i="6" s="1"/>
  <c r="H509" i="6" s="1"/>
  <c r="H510" i="6" s="1"/>
  <c r="H511" i="6" s="1"/>
  <c r="H512" i="6"/>
  <c r="H513" i="6"/>
  <c r="H514" i="6" s="1"/>
  <c r="H515" i="6" s="1"/>
  <c r="H516" i="6"/>
  <c r="H517" i="6"/>
  <c r="H518" i="6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/>
  <c r="H581" i="6"/>
  <c r="H582" i="6"/>
  <c r="H583" i="6" s="1"/>
  <c r="H584" i="6" s="1"/>
  <c r="H585" i="6" s="1"/>
  <c r="H586" i="6" s="1"/>
  <c r="H587" i="6" s="1"/>
  <c r="H588" i="6" s="1"/>
  <c r="H589" i="6" s="1"/>
  <c r="H590" i="6" s="1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608" i="6" s="1"/>
  <c r="H609" i="6" s="1"/>
  <c r="H610" i="6" s="1"/>
  <c r="H611" i="6"/>
  <c r="H612" i="6"/>
  <c r="H613" i="6"/>
  <c r="H614" i="6"/>
  <c r="H615" i="6" s="1"/>
  <c r="H616" i="6" s="1"/>
  <c r="H617" i="6" s="1"/>
  <c r="H618" i="6" s="1"/>
  <c r="H619" i="6"/>
  <c r="H620" i="6"/>
  <c r="H621" i="6"/>
  <c r="H622" i="6" s="1"/>
  <c r="H623" i="6" s="1"/>
  <c r="H624" i="6"/>
  <c r="H625" i="6"/>
  <c r="H626" i="6" s="1"/>
  <c r="H627" i="6" s="1"/>
  <c r="H628" i="6"/>
  <c r="H629" i="6"/>
  <c r="H630" i="6"/>
  <c r="H631" i="6" s="1"/>
  <c r="H632" i="6" s="1"/>
  <c r="H633" i="6" s="1"/>
  <c r="H634" i="6" s="1"/>
  <c r="H635" i="6"/>
  <c r="H636" i="6"/>
  <c r="H637" i="6"/>
  <c r="H638" i="6" s="1"/>
  <c r="H639" i="6" s="1"/>
  <c r="H640" i="6" s="1"/>
  <c r="H641" i="6" s="1"/>
  <c r="H642" i="6" s="1"/>
  <c r="H643" i="6" s="1"/>
  <c r="H644" i="6" s="1"/>
  <c r="H645" i="6" s="1"/>
  <c r="H646" i="6" s="1"/>
  <c r="H647" i="6"/>
  <c r="H648" i="6"/>
  <c r="H649" i="6" s="1"/>
  <c r="H650" i="6" s="1"/>
  <c r="H651" i="6" s="1"/>
  <c r="H652" i="6" s="1"/>
  <c r="H653" i="6" s="1"/>
  <c r="H654" i="6" s="1"/>
  <c r="H655" i="6" s="1"/>
  <c r="H656" i="6"/>
  <c r="H657" i="6"/>
  <c r="H658" i="6" s="1"/>
  <c r="H659" i="6" s="1"/>
  <c r="H660" i="6" s="1"/>
  <c r="H661" i="6" s="1"/>
  <c r="H662" i="6" s="1"/>
  <c r="H663" i="6"/>
  <c r="H664" i="6"/>
  <c r="H665" i="6" s="1"/>
  <c r="H666" i="6" s="1"/>
  <c r="H667" i="6" s="1"/>
  <c r="H668" i="6" s="1"/>
  <c r="H669" i="6" s="1"/>
  <c r="H670" i="6" s="1"/>
  <c r="H671" i="6" s="1"/>
  <c r="H672" i="6" s="1"/>
  <c r="H673" i="6" s="1"/>
  <c r="H674" i="6" s="1"/>
  <c r="H675" i="6" s="1"/>
  <c r="H676" i="6"/>
  <c r="H677" i="6"/>
  <c r="H678" i="6"/>
  <c r="H679" i="6" s="1"/>
  <c r="H680" i="6" s="1"/>
  <c r="H681" i="6" s="1"/>
  <c r="H682" i="6" s="1"/>
  <c r="H683" i="6" s="1"/>
  <c r="H684" i="6" s="1"/>
  <c r="H685" i="6" s="1"/>
  <c r="H686" i="6" s="1"/>
  <c r="H687" i="6" s="1"/>
  <c r="H688" i="6"/>
  <c r="H689" i="6" s="1"/>
  <c r="H690" i="6"/>
  <c r="H691" i="6"/>
  <c r="H692" i="6"/>
  <c r="H693" i="6"/>
  <c r="H694" i="6"/>
  <c r="H695" i="6"/>
  <c r="H696" i="6"/>
  <c r="H697" i="6" s="1"/>
  <c r="H698" i="6" s="1"/>
  <c r="H699" i="6" s="1"/>
  <c r="H700" i="6" s="1"/>
  <c r="H701" i="6" s="1"/>
  <c r="H702" i="6" s="1"/>
  <c r="H703" i="6" s="1"/>
  <c r="H704" i="6"/>
  <c r="H705" i="6"/>
  <c r="H706" i="6" s="1"/>
  <c r="H707" i="6" s="1"/>
  <c r="H708" i="6" s="1"/>
  <c r="H709" i="6" s="1"/>
  <c r="H710" i="6" s="1"/>
  <c r="H711" i="6" s="1"/>
  <c r="H712" i="6" s="1"/>
  <c r="H713" i="6" s="1"/>
  <c r="H714" i="6"/>
  <c r="H715" i="6"/>
  <c r="H716" i="6"/>
  <c r="H717" i="6"/>
  <c r="H718" i="6" s="1"/>
  <c r="H719" i="6" s="1"/>
  <c r="H720" i="6"/>
  <c r="H721" i="6" s="1"/>
  <c r="H722" i="6" s="1"/>
  <c r="H723" i="6"/>
  <c r="H724" i="6"/>
  <c r="H725" i="6"/>
  <c r="H726" i="6"/>
  <c r="H727" i="6" s="1"/>
  <c r="H728" i="6"/>
  <c r="H729" i="6" s="1"/>
  <c r="H730" i="6" s="1"/>
  <c r="H731" i="6" s="1"/>
  <c r="H732" i="6" s="1"/>
  <c r="H733" i="6" s="1"/>
  <c r="H734" i="6" s="1"/>
  <c r="H735" i="6"/>
  <c r="H736" i="6"/>
  <c r="H737" i="6"/>
  <c r="H738" i="6" s="1"/>
  <c r="H739" i="6" s="1"/>
  <c r="H740" i="6" s="1"/>
  <c r="H741" i="6"/>
  <c r="H742" i="6"/>
  <c r="H743" i="6" s="1"/>
  <c r="H744" i="6" s="1"/>
  <c r="H745" i="6" s="1"/>
  <c r="H746" i="6" s="1"/>
  <c r="H747" i="6" s="1"/>
  <c r="H748" i="6"/>
  <c r="H749" i="6"/>
  <c r="H750" i="6" s="1"/>
  <c r="H751" i="6" s="1"/>
  <c r="H752" i="6"/>
  <c r="H753" i="6"/>
  <c r="H754" i="6" s="1"/>
  <c r="H755" i="6" s="1"/>
  <c r="H756" i="6" s="1"/>
  <c r="H757" i="6" s="1"/>
  <c r="H758" i="6"/>
  <c r="H759" i="6" s="1"/>
  <c r="H760" i="6" s="1"/>
  <c r="H761" i="6" s="1"/>
  <c r="H762" i="6" s="1"/>
  <c r="H763" i="6" s="1"/>
  <c r="H764" i="6" s="1"/>
  <c r="H765" i="6" s="1"/>
  <c r="H766" i="6" s="1"/>
  <c r="H767" i="6"/>
  <c r="H768" i="6"/>
  <c r="H769" i="6"/>
  <c r="H770" i="6" s="1"/>
  <c r="H771" i="6" s="1"/>
  <c r="H772" i="6" s="1"/>
  <c r="H773" i="6" s="1"/>
  <c r="H774" i="6"/>
  <c r="H775" i="6"/>
  <c r="H776" i="6"/>
  <c r="H777" i="6" s="1"/>
  <c r="H778" i="6" s="1"/>
  <c r="H779" i="6" s="1"/>
  <c r="H780" i="6" s="1"/>
  <c r="H781" i="6" s="1"/>
  <c r="H782" i="6" s="1"/>
  <c r="H783" i="6" s="1"/>
  <c r="H784" i="6"/>
  <c r="H785" i="6"/>
  <c r="H786" i="6" s="1"/>
  <c r="H787" i="6" s="1"/>
  <c r="H788" i="6"/>
  <c r="H789" i="6"/>
  <c r="H790" i="6"/>
  <c r="H791" i="6" s="1"/>
  <c r="H792" i="6"/>
  <c r="H793" i="6" s="1"/>
  <c r="H794" i="6" s="1"/>
  <c r="H795" i="6" s="1"/>
  <c r="H796" i="6" s="1"/>
  <c r="H797" i="6" s="1"/>
  <c r="H798" i="6" s="1"/>
  <c r="H799" i="6" s="1"/>
  <c r="H800" i="6" s="1"/>
  <c r="H801" i="6" s="1"/>
  <c r="H802" i="6"/>
  <c r="H803" i="6"/>
  <c r="H804" i="6"/>
  <c r="H805" i="6"/>
  <c r="H806" i="6"/>
  <c r="H807" i="6"/>
  <c r="H808" i="6"/>
  <c r="H809" i="6" s="1"/>
  <c r="H810" i="6" s="1"/>
  <c r="H811" i="6" s="1"/>
  <c r="H812" i="6" s="1"/>
  <c r="H813" i="6" s="1"/>
  <c r="H814" i="6" s="1"/>
  <c r="H815" i="6" s="1"/>
  <c r="H816" i="6"/>
  <c r="H817" i="6" s="1"/>
  <c r="H818" i="6" s="1"/>
  <c r="H819" i="6" s="1"/>
  <c r="H820" i="6" s="1"/>
  <c r="H821" i="6" s="1"/>
  <c r="H822" i="6" s="1"/>
  <c r="H823" i="6" s="1"/>
  <c r="H824" i="6" s="1"/>
  <c r="H825" i="6" s="1"/>
  <c r="H826" i="6" s="1"/>
  <c r="H827" i="6"/>
  <c r="H828" i="6"/>
  <c r="H829" i="6"/>
  <c r="H830" i="6" s="1"/>
  <c r="H831" i="6"/>
  <c r="H832" i="6"/>
  <c r="H833" i="6"/>
  <c r="H834" i="6" s="1"/>
  <c r="H835" i="6" s="1"/>
  <c r="H836" i="6" s="1"/>
  <c r="H837" i="6" s="1"/>
  <c r="H838" i="6" s="1"/>
  <c r="H839" i="6" s="1"/>
  <c r="H840" i="6" s="1"/>
  <c r="H841" i="6" s="1"/>
  <c r="H842" i="6" s="1"/>
  <c r="H843" i="6" s="1"/>
  <c r="H844" i="6" s="1"/>
  <c r="H845" i="6"/>
  <c r="H846" i="6"/>
  <c r="H847" i="6" s="1"/>
  <c r="H848" i="6" s="1"/>
  <c r="H849" i="6"/>
  <c r="H850" i="6" s="1"/>
  <c r="H851" i="6" s="1"/>
  <c r="H852" i="6" s="1"/>
  <c r="H853" i="6" s="1"/>
  <c r="H854" i="6"/>
  <c r="H855" i="6" s="1"/>
  <c r="H856" i="6"/>
  <c r="H857" i="6" s="1"/>
  <c r="H858" i="6" s="1"/>
  <c r="H859" i="6" s="1"/>
  <c r="H860" i="6" s="1"/>
  <c r="H861" i="6" s="1"/>
  <c r="H862" i="6" s="1"/>
  <c r="H863" i="6" s="1"/>
  <c r="H864" i="6"/>
  <c r="H865" i="6" s="1"/>
  <c r="H866" i="6" s="1"/>
  <c r="H867" i="6" s="1"/>
  <c r="H868" i="6" s="1"/>
  <c r="H869" i="6" s="1"/>
  <c r="H870" i="6" s="1"/>
  <c r="H871" i="6" s="1"/>
  <c r="H872" i="6" s="1"/>
  <c r="H873" i="6"/>
  <c r="H874" i="6" s="1"/>
  <c r="H875" i="6" s="1"/>
  <c r="H876" i="6" s="1"/>
  <c r="H877" i="6" s="1"/>
  <c r="H878" i="6" s="1"/>
  <c r="H879" i="6" s="1"/>
  <c r="H880" i="6" s="1"/>
  <c r="H881" i="6" s="1"/>
  <c r="H882" i="6" s="1"/>
  <c r="H883" i="6" s="1"/>
  <c r="H884" i="6" s="1"/>
  <c r="H885" i="6" s="1"/>
  <c r="H886" i="6" s="1"/>
  <c r="H887" i="6" s="1"/>
  <c r="H888" i="6" s="1"/>
  <c r="H889" i="6" s="1"/>
  <c r="H890" i="6" s="1"/>
  <c r="H891" i="6" s="1"/>
  <c r="H892" i="6" s="1"/>
  <c r="H893" i="6" s="1"/>
  <c r="H894" i="6" s="1"/>
  <c r="H895" i="6" s="1"/>
  <c r="H896" i="6" s="1"/>
  <c r="H897" i="6" s="1"/>
  <c r="H898" i="6" s="1"/>
  <c r="H899" i="6" s="1"/>
  <c r="H900" i="6" s="1"/>
  <c r="H901" i="6" s="1"/>
  <c r="H902" i="6" s="1"/>
  <c r="H903" i="6" s="1"/>
  <c r="H904" i="6" s="1"/>
  <c r="H905" i="6" s="1"/>
  <c r="H906" i="6" s="1"/>
  <c r="H907" i="6" s="1"/>
  <c r="H908" i="6"/>
  <c r="H909" i="6"/>
  <c r="H910" i="6" s="1"/>
  <c r="H911" i="6" s="1"/>
  <c r="H912" i="6" s="1"/>
  <c r="H913" i="6" s="1"/>
  <c r="H914" i="6" s="1"/>
  <c r="H915" i="6" s="1"/>
  <c r="H916" i="6" s="1"/>
  <c r="H917" i="6" s="1"/>
  <c r="H918" i="6" s="1"/>
  <c r="H919" i="6" s="1"/>
  <c r="H920" i="6" s="1"/>
  <c r="H921" i="6" s="1"/>
  <c r="H922" i="6" s="1"/>
  <c r="H923" i="6" s="1"/>
  <c r="H924" i="6" s="1"/>
  <c r="H925" i="6" s="1"/>
  <c r="H926" i="6" s="1"/>
  <c r="H927" i="6" s="1"/>
  <c r="H928" i="6"/>
  <c r="H929" i="6"/>
  <c r="H930" i="6" s="1"/>
  <c r="H931" i="6" s="1"/>
  <c r="H932" i="6" s="1"/>
  <c r="H933" i="6" s="1"/>
  <c r="H934" i="6"/>
  <c r="H935" i="6" s="1"/>
  <c r="H936" i="6" s="1"/>
  <c r="H937" i="6" s="1"/>
  <c r="H938" i="6" s="1"/>
  <c r="H939" i="6" s="1"/>
  <c r="H940" i="6" s="1"/>
  <c r="H941" i="6" s="1"/>
  <c r="H942" i="6" s="1"/>
  <c r="H943" i="6" s="1"/>
  <c r="H944" i="6" s="1"/>
  <c r="H945" i="6" s="1"/>
  <c r="H946" i="6" s="1"/>
  <c r="H947" i="6" s="1"/>
  <c r="H948" i="6" s="1"/>
  <c r="H949" i="6" s="1"/>
  <c r="H950" i="6" s="1"/>
  <c r="H951" i="6" s="1"/>
  <c r="H952" i="6" s="1"/>
  <c r="H953" i="6" s="1"/>
  <c r="H954" i="6"/>
  <c r="H955" i="6"/>
  <c r="H956" i="6"/>
  <c r="H957" i="6"/>
  <c r="H958" i="6"/>
  <c r="H959" i="6" s="1"/>
  <c r="H960" i="6"/>
  <c r="H961" i="6" s="1"/>
  <c r="H962" i="6" s="1"/>
  <c r="H963" i="6" s="1"/>
  <c r="H964" i="6" s="1"/>
  <c r="H965" i="6" s="1"/>
  <c r="H966" i="6" s="1"/>
  <c r="H967" i="6" s="1"/>
  <c r="H968" i="6" s="1"/>
  <c r="H969" i="6" s="1"/>
  <c r="H970" i="6"/>
  <c r="H971" i="6"/>
  <c r="H972" i="6"/>
  <c r="H973" i="6"/>
  <c r="H974" i="6" s="1"/>
  <c r="H975" i="6" s="1"/>
  <c r="H976" i="6" s="1"/>
  <c r="H977" i="6" s="1"/>
  <c r="H978" i="6" s="1"/>
  <c r="H979" i="6" s="1"/>
  <c r="H980" i="6" s="1"/>
  <c r="H981" i="6"/>
  <c r="H982" i="6"/>
  <c r="H983" i="6" s="1"/>
  <c r="H984" i="6" s="1"/>
  <c r="H985" i="6"/>
  <c r="H986" i="6" s="1"/>
  <c r="H987" i="6" s="1"/>
  <c r="H988" i="6" s="1"/>
  <c r="H989" i="6" s="1"/>
  <c r="H990" i="6" s="1"/>
  <c r="H991" i="6" s="1"/>
  <c r="H992" i="6" s="1"/>
  <c r="H993" i="6" s="1"/>
  <c r="H994" i="6" s="1"/>
  <c r="H995" i="6" s="1"/>
  <c r="H996" i="6" s="1"/>
  <c r="H997" i="6" s="1"/>
  <c r="H998" i="6" s="1"/>
  <c r="H999" i="6" s="1"/>
  <c r="H1000" i="6" s="1"/>
  <c r="H1001" i="6" s="1"/>
  <c r="H1002" i="6" s="1"/>
  <c r="H1003" i="6" s="1"/>
  <c r="H1004" i="6" s="1"/>
  <c r="H1005" i="6" s="1"/>
  <c r="H1006" i="6" s="1"/>
  <c r="H1007" i="6" s="1"/>
  <c r="H1008" i="6" s="1"/>
  <c r="H1009" i="6" s="1"/>
  <c r="H1010" i="6" s="1"/>
  <c r="H1011" i="6" s="1"/>
  <c r="H1012" i="6" s="1"/>
  <c r="H1013" i="6" s="1"/>
  <c r="H1014" i="6" s="1"/>
  <c r="H1015" i="6" s="1"/>
  <c r="H1016" i="6" s="1"/>
  <c r="H1017" i="6" s="1"/>
  <c r="H1018" i="6" s="1"/>
  <c r="H1019" i="6" s="1"/>
  <c r="H1020" i="6" s="1"/>
  <c r="H1021" i="6" s="1"/>
  <c r="H1022" i="6" s="1"/>
  <c r="H1023" i="6" s="1"/>
  <c r="H1024" i="6" s="1"/>
  <c r="H1025" i="6" s="1"/>
  <c r="H1026" i="6" s="1"/>
  <c r="H1027" i="6" s="1"/>
  <c r="H1028" i="6" s="1"/>
  <c r="H1029" i="6" s="1"/>
  <c r="H1030" i="6" s="1"/>
  <c r="H1031" i="6" s="1"/>
  <c r="H1032" i="6" s="1"/>
  <c r="H1033" i="6" s="1"/>
  <c r="H1034" i="6" s="1"/>
  <c r="H1035" i="6"/>
  <c r="H1036" i="6"/>
  <c r="H1037" i="6"/>
  <c r="H1038" i="6" s="1"/>
  <c r="H1039" i="6" s="1"/>
  <c r="H1040" i="6" s="1"/>
  <c r="H1041" i="6" s="1"/>
  <c r="H1042" i="6" s="1"/>
  <c r="H1043" i="6" s="1"/>
  <c r="H1044" i="6"/>
  <c r="H1045" i="6"/>
  <c r="H1046" i="6"/>
  <c r="H1047" i="6" s="1"/>
  <c r="H1048" i="6" s="1"/>
  <c r="H1049" i="6" s="1"/>
  <c r="H1050" i="6" s="1"/>
  <c r="H1051" i="6" s="1"/>
  <c r="H1052" i="6" s="1"/>
  <c r="H1053" i="6" s="1"/>
  <c r="H1054" i="6" s="1"/>
  <c r="H1055" i="6" s="1"/>
  <c r="H1056" i="6" s="1"/>
  <c r="H1057" i="6" s="1"/>
  <c r="H1058" i="6" s="1"/>
  <c r="H1059" i="6" s="1"/>
  <c r="H1060" i="6" s="1"/>
  <c r="H1061" i="6" s="1"/>
  <c r="H1062" i="6"/>
  <c r="H1063" i="6" s="1"/>
  <c r="H1064" i="6" s="1"/>
  <c r="H1065" i="6" s="1"/>
  <c r="H1066" i="6" s="1"/>
  <c r="H1067" i="6" s="1"/>
  <c r="H1068" i="6" s="1"/>
  <c r="H1069" i="6" s="1"/>
  <c r="H1070" i="6" s="1"/>
  <c r="H1071" i="6" s="1"/>
  <c r="H1072" i="6"/>
  <c r="H1073" i="6" s="1"/>
  <c r="H1074" i="6" s="1"/>
  <c r="H1075" i="6" s="1"/>
  <c r="H1076" i="6" s="1"/>
  <c r="H1077" i="6" s="1"/>
  <c r="H1078" i="6" s="1"/>
  <c r="H1079" i="6" s="1"/>
  <c r="H1080" i="6" s="1"/>
  <c r="H1081" i="6" s="1"/>
  <c r="H1082" i="6" s="1"/>
  <c r="H1083" i="6" s="1"/>
  <c r="H1084" i="6" s="1"/>
  <c r="H1085" i="6"/>
  <c r="H1086" i="6"/>
  <c r="H1087" i="6" s="1"/>
  <c r="H1088" i="6"/>
  <c r="H1089" i="6"/>
  <c r="H1090" i="6" s="1"/>
  <c r="H1091" i="6" s="1"/>
  <c r="H1092" i="6" s="1"/>
  <c r="H1093" i="6" s="1"/>
  <c r="H1094" i="6" s="1"/>
  <c r="H1095" i="6" s="1"/>
  <c r="H1096" i="6" s="1"/>
  <c r="H1097" i="6" s="1"/>
  <c r="H1098" i="6" s="1"/>
  <c r="H1099" i="6" s="1"/>
  <c r="H1100" i="6" s="1"/>
  <c r="H1101" i="6" s="1"/>
  <c r="H1102" i="6" s="1"/>
  <c r="H1103" i="6" s="1"/>
  <c r="H1104" i="6"/>
  <c r="H1105" i="6"/>
  <c r="H1106" i="6" s="1"/>
  <c r="H1107" i="6" s="1"/>
  <c r="H1108" i="6" s="1"/>
  <c r="H1109" i="6" s="1"/>
  <c r="H1110" i="6" s="1"/>
  <c r="H1111" i="6" s="1"/>
  <c r="H1112" i="6" s="1"/>
  <c r="H1113" i="6" s="1"/>
  <c r="H1114" i="6" s="1"/>
  <c r="H1115" i="6" s="1"/>
  <c r="H1116" i="6" s="1"/>
  <c r="H1117" i="6" s="1"/>
  <c r="H1118" i="6" s="1"/>
  <c r="H1119" i="6" s="1"/>
  <c r="H1120" i="6" s="1"/>
  <c r="H1121" i="6" s="1"/>
  <c r="H1122" i="6" s="1"/>
  <c r="H1123" i="6" s="1"/>
  <c r="H1124" i="6" s="1"/>
  <c r="H1125" i="6"/>
  <c r="H1126" i="6"/>
  <c r="H1127" i="6" s="1"/>
  <c r="H1128" i="6" s="1"/>
  <c r="H1129" i="6" s="1"/>
  <c r="H1130" i="6" s="1"/>
  <c r="H1131" i="6" s="1"/>
  <c r="H1132" i="6" s="1"/>
  <c r="H1133" i="6" s="1"/>
  <c r="H1134" i="6" s="1"/>
  <c r="H1135" i="6" s="1"/>
  <c r="H1136" i="6" s="1"/>
  <c r="H1137" i="6" s="1"/>
  <c r="H1138" i="6" s="1"/>
  <c r="H1139" i="6" s="1"/>
  <c r="H1140" i="6" s="1"/>
  <c r="H1141" i="6" s="1"/>
  <c r="H1142" i="6" s="1"/>
  <c r="H1143" i="6" s="1"/>
  <c r="H1144" i="6" s="1"/>
  <c r="H1145" i="6" s="1"/>
  <c r="H1146" i="6" s="1"/>
  <c r="H1147" i="6" s="1"/>
  <c r="H1148" i="6" s="1"/>
  <c r="H1149" i="6" s="1"/>
  <c r="H1150" i="6" s="1"/>
  <c r="H1151" i="6" s="1"/>
  <c r="H1152" i="6" s="1"/>
  <c r="H1153" i="6" s="1"/>
  <c r="H1154" i="6" s="1"/>
  <c r="H1155" i="6" s="1"/>
  <c r="H1156" i="6" s="1"/>
  <c r="H1157" i="6" s="1"/>
  <c r="H1158" i="6" s="1"/>
  <c r="H1159" i="6" s="1"/>
  <c r="H1160" i="6"/>
  <c r="H1161" i="6"/>
  <c r="H1162" i="6" s="1"/>
  <c r="H1163" i="6" s="1"/>
  <c r="H1164" i="6"/>
  <c r="H1165" i="6"/>
  <c r="H1166" i="6" s="1"/>
  <c r="H1167" i="6" s="1"/>
  <c r="H1168" i="6"/>
  <c r="H1169" i="6" s="1"/>
  <c r="H1170" i="6" s="1"/>
  <c r="H1171" i="6" s="1"/>
  <c r="H1172" i="6" s="1"/>
  <c r="H1173" i="6" s="1"/>
  <c r="H1174" i="6" s="1"/>
  <c r="H1175" i="6" s="1"/>
  <c r="H1176" i="6" s="1"/>
  <c r="H1177" i="6" s="1"/>
  <c r="H1178" i="6" s="1"/>
  <c r="H1179" i="6" s="1"/>
  <c r="H1180" i="6" s="1"/>
  <c r="H1181" i="6" s="1"/>
  <c r="H1182" i="6"/>
  <c r="H1183" i="6" s="1"/>
  <c r="H1184" i="6" s="1"/>
  <c r="H1185" i="6" s="1"/>
  <c r="H1186" i="6" s="1"/>
  <c r="H1187" i="6" s="1"/>
  <c r="H1188" i="6" s="1"/>
  <c r="H1189" i="6" s="1"/>
  <c r="H1190" i="6" s="1"/>
  <c r="H1191" i="6" s="1"/>
  <c r="H1192" i="6" s="1"/>
  <c r="H1193" i="6" s="1"/>
  <c r="H1194" i="6"/>
  <c r="H1195" i="6"/>
  <c r="H1196" i="6"/>
  <c r="H1197" i="6"/>
  <c r="H1198" i="6" s="1"/>
  <c r="H1199" i="6" s="1"/>
  <c r="H1200" i="6"/>
  <c r="H1201" i="6"/>
  <c r="H1202" i="6" s="1"/>
  <c r="H1203" i="6" s="1"/>
  <c r="H1204" i="6" s="1"/>
  <c r="H1205" i="6" s="1"/>
  <c r="H1206" i="6"/>
  <c r="H1207" i="6" s="1"/>
  <c r="H1208" i="6" s="1"/>
  <c r="H1209" i="6" s="1"/>
  <c r="H1210" i="6" s="1"/>
  <c r="H1211" i="6" s="1"/>
  <c r="H1212" i="6" s="1"/>
  <c r="H1213" i="6" s="1"/>
  <c r="H1214" i="6" s="1"/>
  <c r="H1215" i="6" s="1"/>
  <c r="H1216" i="6" s="1"/>
  <c r="H1217" i="6" s="1"/>
  <c r="H1218" i="6" s="1"/>
  <c r="H1219" i="6" s="1"/>
  <c r="H1220" i="6" s="1"/>
  <c r="H1221" i="6" s="1"/>
  <c r="H1222" i="6" s="1"/>
  <c r="H1223" i="6" s="1"/>
  <c r="H1224" i="6" s="1"/>
  <c r="H1225" i="6" s="1"/>
  <c r="H1226" i="6" s="1"/>
  <c r="H1227" i="6" s="1"/>
  <c r="H1228" i="6" s="1"/>
  <c r="H1229" i="6"/>
  <c r="H1230" i="6" s="1"/>
  <c r="H1231" i="6" s="1"/>
  <c r="H1232" i="6" s="1"/>
  <c r="H1233" i="6" s="1"/>
  <c r="H1234" i="6"/>
  <c r="H1235" i="6" s="1"/>
  <c r="H1236" i="6" s="1"/>
  <c r="H1237" i="6" s="1"/>
  <c r="H1238" i="6"/>
  <c r="H1239" i="6" s="1"/>
  <c r="H1240" i="6" s="1"/>
  <c r="H1241" i="6" s="1"/>
  <c r="H1242" i="6" s="1"/>
  <c r="H1243" i="6" s="1"/>
  <c r="H1244" i="6" s="1"/>
  <c r="H1245" i="6" s="1"/>
  <c r="H1246" i="6" s="1"/>
  <c r="H1247" i="6" s="1"/>
  <c r="H1248" i="6" s="1"/>
  <c r="H1249" i="6" s="1"/>
  <c r="H1250" i="6" s="1"/>
  <c r="H1251" i="6" s="1"/>
  <c r="H1252" i="6" s="1"/>
  <c r="H1253" i="6" s="1"/>
  <c r="H1254" i="6" s="1"/>
  <c r="H1255" i="6" s="1"/>
  <c r="H1256" i="6" s="1"/>
  <c r="H1257" i="6"/>
  <c r="H1258" i="6" s="1"/>
  <c r="H1259" i="6" s="1"/>
  <c r="H1260" i="6" s="1"/>
  <c r="H1261" i="6" s="1"/>
  <c r="H1262" i="6" s="1"/>
  <c r="H1263" i="6" s="1"/>
  <c r="H1264" i="6"/>
  <c r="H1265" i="6"/>
  <c r="H1266" i="6" s="1"/>
  <c r="H1267" i="6" s="1"/>
  <c r="H1268" i="6" s="1"/>
  <c r="H1269" i="6" s="1"/>
  <c r="H1270" i="6"/>
  <c r="H1271" i="6" s="1"/>
  <c r="H1272" i="6" s="1"/>
  <c r="H1273" i="6" s="1"/>
  <c r="H1274" i="6" s="1"/>
  <c r="H1275" i="6" s="1"/>
  <c r="H1276" i="6" s="1"/>
  <c r="H1277" i="6" s="1"/>
  <c r="H1278" i="6" s="1"/>
  <c r="H1279" i="6" s="1"/>
  <c r="H1280" i="6"/>
  <c r="H1281" i="6" s="1"/>
  <c r="H1282" i="6" s="1"/>
  <c r="H1283" i="6" s="1"/>
  <c r="H1284" i="6"/>
  <c r="H1285" i="6"/>
  <c r="H1286" i="6"/>
  <c r="H1287" i="6" s="1"/>
  <c r="H1288" i="6" s="1"/>
  <c r="H1289" i="6" s="1"/>
  <c r="H1290" i="6" s="1"/>
  <c r="H1291" i="6" s="1"/>
  <c r="H1292" i="6" s="1"/>
  <c r="H1293" i="6" s="1"/>
  <c r="H1294" i="6" s="1"/>
  <c r="H1295" i="6" s="1"/>
  <c r="H1296" i="6" s="1"/>
  <c r="H1297" i="6" s="1"/>
  <c r="H1298" i="6" s="1"/>
  <c r="H1299" i="6" s="1"/>
  <c r="H1300" i="6" s="1"/>
  <c r="H1301" i="6" s="1"/>
  <c r="H1302" i="6" s="1"/>
  <c r="H1303" i="6" s="1"/>
  <c r="H1304" i="6" s="1"/>
  <c r="H1305" i="6" s="1"/>
  <c r="H1306" i="6" s="1"/>
  <c r="H1307" i="6" s="1"/>
  <c r="H1308" i="6" s="1"/>
  <c r="H1309" i="6" s="1"/>
  <c r="H1310" i="6" s="1"/>
  <c r="H1311" i="6" s="1"/>
  <c r="H1312" i="6" s="1"/>
  <c r="H1313" i="6" s="1"/>
  <c r="H1314" i="6" s="1"/>
  <c r="H1315" i="6" s="1"/>
  <c r="H1316" i="6" s="1"/>
  <c r="H1317" i="6" s="1"/>
  <c r="H1318" i="6" s="1"/>
  <c r="H1319" i="6" s="1"/>
  <c r="H1320" i="6" s="1"/>
  <c r="H1321" i="6" s="1"/>
  <c r="H1322" i="6" s="1"/>
  <c r="H1323" i="6" s="1"/>
  <c r="H1324" i="6" s="1"/>
  <c r="H1325" i="6" s="1"/>
  <c r="H1326" i="6" s="1"/>
  <c r="H1327" i="6" s="1"/>
  <c r="H1328" i="6" s="1"/>
  <c r="H1329" i="6"/>
  <c r="H1330" i="6"/>
  <c r="H1331" i="6" s="1"/>
  <c r="H1332" i="6" s="1"/>
  <c r="H1333" i="6" s="1"/>
  <c r="H1334" i="6"/>
  <c r="H1335" i="6" s="1"/>
  <c r="H1336" i="6" s="1"/>
  <c r="H1337" i="6"/>
  <c r="H1338" i="6" s="1"/>
  <c r="H1339" i="6" s="1"/>
  <c r="H1340" i="6" s="1"/>
  <c r="H1341" i="6" s="1"/>
  <c r="H1342" i="6" s="1"/>
  <c r="H1343" i="6" s="1"/>
  <c r="H1344" i="6"/>
  <c r="H1345" i="6" s="1"/>
  <c r="H1346" i="6"/>
  <c r="H1347" i="6" s="1"/>
  <c r="H1348" i="6" s="1"/>
  <c r="H1349" i="6" s="1"/>
  <c r="H1350" i="6"/>
  <c r="H1351" i="6" s="1"/>
  <c r="H1352" i="6" s="1"/>
  <c r="H1353" i="6" s="1"/>
  <c r="H1354" i="6" s="1"/>
  <c r="H1355" i="6" s="1"/>
  <c r="H1356" i="6" s="1"/>
  <c r="H1357" i="6" s="1"/>
  <c r="H1358" i="6" s="1"/>
  <c r="H1359" i="6" s="1"/>
  <c r="H1360" i="6"/>
  <c r="H1361" i="6" s="1"/>
  <c r="H1362" i="6" s="1"/>
  <c r="H1363" i="6" s="1"/>
  <c r="H1364" i="6" s="1"/>
  <c r="H1365" i="6" s="1"/>
  <c r="H1366" i="6" s="1"/>
  <c r="H1367" i="6" s="1"/>
  <c r="H1368" i="6" s="1"/>
  <c r="H1369" i="6" s="1"/>
  <c r="H1370" i="6" s="1"/>
  <c r="H1371" i="6" s="1"/>
  <c r="H1372" i="6"/>
  <c r="H1373" i="6"/>
  <c r="H1374" i="6" s="1"/>
  <c r="H1375" i="6" s="1"/>
  <c r="H1376" i="6" s="1"/>
  <c r="H1377" i="6" s="1"/>
  <c r="H1378" i="6" s="1"/>
  <c r="H1379" i="6" s="1"/>
  <c r="H1380" i="6"/>
  <c r="H1381" i="6"/>
  <c r="H1382" i="6"/>
  <c r="H1383" i="6" s="1"/>
  <c r="H1384" i="6" s="1"/>
  <c r="H1385" i="6" s="1"/>
  <c r="H1386" i="6" s="1"/>
  <c r="H1387" i="6" s="1"/>
  <c r="H1388" i="6" s="1"/>
  <c r="H1389" i="6" s="1"/>
  <c r="H1390" i="6" s="1"/>
  <c r="H1391" i="6" s="1"/>
  <c r="H1392" i="6"/>
  <c r="H1393" i="6"/>
  <c r="H1394" i="6" s="1"/>
  <c r="H1395" i="6" s="1"/>
  <c r="H1396" i="6"/>
  <c r="H1397" i="6"/>
  <c r="H1398" i="6"/>
  <c r="H1399" i="6" s="1"/>
  <c r="H1400" i="6" s="1"/>
  <c r="H1401" i="6" s="1"/>
  <c r="H1402" i="6" s="1"/>
  <c r="H1403" i="6" s="1"/>
  <c r="H1404" i="6" s="1"/>
  <c r="H1405" i="6" s="1"/>
  <c r="H1406" i="6" s="1"/>
  <c r="H1407" i="6" s="1"/>
  <c r="H1408" i="6"/>
  <c r="H1409" i="6"/>
  <c r="H1410" i="6" s="1"/>
  <c r="H1411" i="6" s="1"/>
  <c r="H1412" i="6" s="1"/>
  <c r="H1413" i="6" s="1"/>
  <c r="H1414" i="6" s="1"/>
  <c r="H1415" i="6" s="1"/>
  <c r="H1416" i="6" s="1"/>
  <c r="H1417" i="6" s="1"/>
  <c r="H1418" i="6" s="1"/>
  <c r="H1419" i="6" s="1"/>
  <c r="H1420" i="6" s="1"/>
  <c r="H1421" i="6" s="1"/>
  <c r="H1422" i="6" s="1"/>
  <c r="H1423" i="6"/>
  <c r="H1424" i="6"/>
  <c r="H1425" i="6"/>
  <c r="H1426" i="6" s="1"/>
  <c r="H1427" i="6" s="1"/>
  <c r="H1428" i="6" s="1"/>
  <c r="H1429" i="6" s="1"/>
  <c r="H1430" i="6" s="1"/>
  <c r="H1431" i="6" s="1"/>
  <c r="H1432" i="6" s="1"/>
  <c r="H1433" i="6" s="1"/>
  <c r="H1434" i="6"/>
  <c r="H1435" i="6"/>
  <c r="H1436" i="6"/>
  <c r="H1437" i="6"/>
  <c r="H1438" i="6" s="1"/>
  <c r="H1439" i="6"/>
  <c r="H1440" i="6"/>
  <c r="H1441" i="6"/>
  <c r="H1442" i="6" s="1"/>
  <c r="H1443" i="6" s="1"/>
  <c r="H1444" i="6" s="1"/>
  <c r="H1445" i="6" s="1"/>
  <c r="H1446" i="6" s="1"/>
  <c r="H1447" i="6" s="1"/>
  <c r="H1448" i="6" s="1"/>
  <c r="G2" i="6"/>
  <c r="G3" i="6"/>
  <c r="G4" i="6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/>
  <c r="G76" i="6" s="1"/>
  <c r="G77" i="6" s="1"/>
  <c r="G78" i="6" s="1"/>
  <c r="G79" i="6" s="1"/>
  <c r="G80" i="6" s="1"/>
  <c r="G81" i="6"/>
  <c r="G82" i="6" s="1"/>
  <c r="G83" i="6" s="1"/>
  <c r="G84" i="6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/>
  <c r="G137" i="6"/>
  <c r="G138" i="6" s="1"/>
  <c r="G139" i="6" s="1"/>
  <c r="G140" i="6" s="1"/>
  <c r="G141" i="6" s="1"/>
  <c r="G142" i="6" s="1"/>
  <c r="G143" i="6" s="1"/>
  <c r="G144" i="6" s="1"/>
  <c r="G145" i="6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/>
  <c r="G313" i="6"/>
  <c r="G314" i="6" s="1"/>
  <c r="G315" i="6" s="1"/>
  <c r="G316" i="6" s="1"/>
  <c r="G317" i="6" s="1"/>
  <c r="G318" i="6" s="1"/>
  <c r="G319" i="6" s="1"/>
  <c r="G320" i="6" s="1"/>
  <c r="G321" i="6"/>
  <c r="G322" i="6" s="1"/>
  <c r="G323" i="6" s="1"/>
  <c r="G324" i="6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/>
  <c r="G340" i="6"/>
  <c r="G341" i="6" s="1"/>
  <c r="G342" i="6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/>
  <c r="G355" i="6"/>
  <c r="G356" i="6"/>
  <c r="G357" i="6" s="1"/>
  <c r="G358" i="6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/>
  <c r="G466" i="6" s="1"/>
  <c r="G467" i="6" s="1"/>
  <c r="G468" i="6" s="1"/>
  <c r="G469" i="6" s="1"/>
  <c r="G470" i="6" s="1"/>
  <c r="G471" i="6" s="1"/>
  <c r="G472" i="6" s="1"/>
  <c r="G473" i="6" s="1"/>
  <c r="G474" i="6" s="1"/>
  <c r="G475" i="6" s="1"/>
  <c r="G476" i="6" s="1"/>
  <c r="G477" i="6" s="1"/>
  <c r="G478" i="6" s="1"/>
  <c r="G479" i="6" s="1"/>
  <c r="G480" i="6" s="1"/>
  <c r="G481" i="6" s="1"/>
  <c r="G482" i="6" s="1"/>
  <c r="G483" i="6" s="1"/>
  <c r="G484" i="6" s="1"/>
  <c r="G485" i="6" s="1"/>
  <c r="G486" i="6" s="1"/>
  <c r="G487" i="6" s="1"/>
  <c r="G488" i="6" s="1"/>
  <c r="G489" i="6" s="1"/>
  <c r="G490" i="6" s="1"/>
  <c r="G491" i="6" s="1"/>
  <c r="G492" i="6" s="1"/>
  <c r="G493" i="6" s="1"/>
  <c r="G494" i="6" s="1"/>
  <c r="G495" i="6" s="1"/>
  <c r="G496" i="6" s="1"/>
  <c r="G497" i="6" s="1"/>
  <c r="G498" i="6" s="1"/>
  <c r="G499" i="6" s="1"/>
  <c r="G500" i="6" s="1"/>
  <c r="G501" i="6" s="1"/>
  <c r="G502" i="6" s="1"/>
  <c r="G503" i="6" s="1"/>
  <c r="G504" i="6" s="1"/>
  <c r="G505" i="6" s="1"/>
  <c r="G506" i="6" s="1"/>
  <c r="G507" i="6" s="1"/>
  <c r="G508" i="6" s="1"/>
  <c r="G509" i="6" s="1"/>
  <c r="G510" i="6" s="1"/>
  <c r="G511" i="6" s="1"/>
  <c r="G512" i="6" s="1"/>
  <c r="G513" i="6" s="1"/>
  <c r="G514" i="6" s="1"/>
  <c r="G515" i="6" s="1"/>
  <c r="G516" i="6"/>
  <c r="G517" i="6" s="1"/>
  <c r="G518" i="6" s="1"/>
  <c r="G519" i="6" s="1"/>
  <c r="G520" i="6" s="1"/>
  <c r="G521" i="6" s="1"/>
  <c r="G522" i="6" s="1"/>
  <c r="G523" i="6" s="1"/>
  <c r="G524" i="6" s="1"/>
  <c r="G525" i="6" s="1"/>
  <c r="G526" i="6" s="1"/>
  <c r="G527" i="6" s="1"/>
  <c r="G528" i="6" s="1"/>
  <c r="G529" i="6" s="1"/>
  <c r="G530" i="6" s="1"/>
  <c r="G531" i="6" s="1"/>
  <c r="G532" i="6" s="1"/>
  <c r="G533" i="6" s="1"/>
  <c r="G534" i="6" s="1"/>
  <c r="G535" i="6" s="1"/>
  <c r="G536" i="6" s="1"/>
  <c r="G537" i="6" s="1"/>
  <c r="G538" i="6" s="1"/>
  <c r="G539" i="6" s="1"/>
  <c r="G540" i="6" s="1"/>
  <c r="G541" i="6" s="1"/>
  <c r="G542" i="6" s="1"/>
  <c r="G543" i="6" s="1"/>
  <c r="G544" i="6" s="1"/>
  <c r="G545" i="6" s="1"/>
  <c r="G546" i="6" s="1"/>
  <c r="G547" i="6" s="1"/>
  <c r="G548" i="6" s="1"/>
  <c r="G549" i="6" s="1"/>
  <c r="G550" i="6" s="1"/>
  <c r="G551" i="6" s="1"/>
  <c r="G552" i="6" s="1"/>
  <c r="G553" i="6" s="1"/>
  <c r="G554" i="6" s="1"/>
  <c r="G555" i="6" s="1"/>
  <c r="G556" i="6" s="1"/>
  <c r="G557" i="6" s="1"/>
  <c r="G558" i="6" s="1"/>
  <c r="G559" i="6" s="1"/>
  <c r="G560" i="6" s="1"/>
  <c r="G561" i="6" s="1"/>
  <c r="G562" i="6" s="1"/>
  <c r="G563" i="6" s="1"/>
  <c r="G564" i="6" s="1"/>
  <c r="G565" i="6" s="1"/>
  <c r="G566" i="6" s="1"/>
  <c r="G567" i="6" s="1"/>
  <c r="G568" i="6" s="1"/>
  <c r="G569" i="6" s="1"/>
  <c r="G570" i="6" s="1"/>
  <c r="G571" i="6" s="1"/>
  <c r="G572" i="6" s="1"/>
  <c r="G573" i="6" s="1"/>
  <c r="G574" i="6" s="1"/>
  <c r="G575" i="6" s="1"/>
  <c r="G576" i="6" s="1"/>
  <c r="G577" i="6" s="1"/>
  <c r="G578" i="6" s="1"/>
  <c r="G579" i="6" s="1"/>
  <c r="G580" i="6" s="1"/>
  <c r="G581" i="6" s="1"/>
  <c r="G582" i="6" s="1"/>
  <c r="G583" i="6" s="1"/>
  <c r="G584" i="6" s="1"/>
  <c r="G585" i="6" s="1"/>
  <c r="G586" i="6" s="1"/>
  <c r="G587" i="6" s="1"/>
  <c r="G588" i="6" s="1"/>
  <c r="G589" i="6" s="1"/>
  <c r="G590" i="6" s="1"/>
  <c r="G591" i="6" s="1"/>
  <c r="G592" i="6" s="1"/>
  <c r="G593" i="6" s="1"/>
  <c r="G594" i="6" s="1"/>
  <c r="G595" i="6" s="1"/>
  <c r="G596" i="6" s="1"/>
  <c r="G597" i="6" s="1"/>
  <c r="G598" i="6" s="1"/>
  <c r="G599" i="6" s="1"/>
  <c r="G600" i="6" s="1"/>
  <c r="G601" i="6" s="1"/>
  <c r="G602" i="6" s="1"/>
  <c r="G603" i="6" s="1"/>
  <c r="G604" i="6" s="1"/>
  <c r="G605" i="6" s="1"/>
  <c r="G606" i="6" s="1"/>
  <c r="G607" i="6" s="1"/>
  <c r="G608" i="6" s="1"/>
  <c r="G609" i="6" s="1"/>
  <c r="G610" i="6" s="1"/>
  <c r="G611" i="6" s="1"/>
  <c r="G612" i="6" s="1"/>
  <c r="G613" i="6" s="1"/>
  <c r="G614" i="6" s="1"/>
  <c r="G615" i="6" s="1"/>
  <c r="G616" i="6" s="1"/>
  <c r="G617" i="6" s="1"/>
  <c r="G618" i="6" s="1"/>
  <c r="G619" i="6"/>
  <c r="G620" i="6"/>
  <c r="G621" i="6"/>
  <c r="G622" i="6" s="1"/>
  <c r="G623" i="6" s="1"/>
  <c r="G624" i="6" s="1"/>
  <c r="G625" i="6" s="1"/>
  <c r="G626" i="6" s="1"/>
  <c r="G627" i="6" s="1"/>
  <c r="G628" i="6" s="1"/>
  <c r="G629" i="6" s="1"/>
  <c r="G630" i="6" s="1"/>
  <c r="G631" i="6" s="1"/>
  <c r="G632" i="6" s="1"/>
  <c r="G633" i="6" s="1"/>
  <c r="G634" i="6" s="1"/>
  <c r="G635" i="6" s="1"/>
  <c r="G636" i="6" s="1"/>
  <c r="G637" i="6" s="1"/>
  <c r="G638" i="6" s="1"/>
  <c r="G639" i="6" s="1"/>
  <c r="G640" i="6" s="1"/>
  <c r="G641" i="6" s="1"/>
  <c r="G642" i="6" s="1"/>
  <c r="G643" i="6" s="1"/>
  <c r="G644" i="6" s="1"/>
  <c r="G645" i="6" s="1"/>
  <c r="G646" i="6" s="1"/>
  <c r="G647" i="6"/>
  <c r="G648" i="6"/>
  <c r="G649" i="6" s="1"/>
  <c r="G650" i="6" s="1"/>
  <c r="G651" i="6" s="1"/>
  <c r="G652" i="6" s="1"/>
  <c r="G653" i="6" s="1"/>
  <c r="G654" i="6" s="1"/>
  <c r="G655" i="6" s="1"/>
  <c r="G656" i="6" s="1"/>
  <c r="G657" i="6" s="1"/>
  <c r="G658" i="6" s="1"/>
  <c r="G659" i="6" s="1"/>
  <c r="G660" i="6" s="1"/>
  <c r="G661" i="6" s="1"/>
  <c r="G662" i="6" s="1"/>
  <c r="G663" i="6" s="1"/>
  <c r="G664" i="6" s="1"/>
  <c r="G665" i="6" s="1"/>
  <c r="G666" i="6" s="1"/>
  <c r="G667" i="6" s="1"/>
  <c r="G668" i="6" s="1"/>
  <c r="G669" i="6" s="1"/>
  <c r="G670" i="6" s="1"/>
  <c r="G671" i="6" s="1"/>
  <c r="G672" i="6" s="1"/>
  <c r="G673" i="6" s="1"/>
  <c r="G674" i="6" s="1"/>
  <c r="G675" i="6" s="1"/>
  <c r="G676" i="6" s="1"/>
  <c r="G677" i="6" s="1"/>
  <c r="G678" i="6" s="1"/>
  <c r="G679" i="6" s="1"/>
  <c r="G680" i="6" s="1"/>
  <c r="G681" i="6" s="1"/>
  <c r="G682" i="6" s="1"/>
  <c r="G683" i="6" s="1"/>
  <c r="G684" i="6" s="1"/>
  <c r="G685" i="6" s="1"/>
  <c r="G686" i="6" s="1"/>
  <c r="G687" i="6" s="1"/>
  <c r="G688" i="6" s="1"/>
  <c r="G689" i="6" s="1"/>
  <c r="G690" i="6"/>
  <c r="G691" i="6"/>
  <c r="G692" i="6"/>
  <c r="G693" i="6" s="1"/>
  <c r="G694" i="6"/>
  <c r="G695" i="6" s="1"/>
  <c r="G696" i="6" s="1"/>
  <c r="G697" i="6" s="1"/>
  <c r="G698" i="6" s="1"/>
  <c r="G699" i="6" s="1"/>
  <c r="G700" i="6" s="1"/>
  <c r="G701" i="6" s="1"/>
  <c r="G702" i="6" s="1"/>
  <c r="G703" i="6" s="1"/>
  <c r="G704" i="6" s="1"/>
  <c r="G705" i="6" s="1"/>
  <c r="G706" i="6" s="1"/>
  <c r="G707" i="6" s="1"/>
  <c r="G708" i="6" s="1"/>
  <c r="G709" i="6" s="1"/>
  <c r="G710" i="6" s="1"/>
  <c r="G711" i="6" s="1"/>
  <c r="G712" i="6" s="1"/>
  <c r="G713" i="6" s="1"/>
  <c r="G714" i="6" s="1"/>
  <c r="G715" i="6" s="1"/>
  <c r="G716" i="6" s="1"/>
  <c r="G717" i="6" s="1"/>
  <c r="G718" i="6" s="1"/>
  <c r="G719" i="6" s="1"/>
  <c r="G720" i="6" s="1"/>
  <c r="G721" i="6" s="1"/>
  <c r="G722" i="6" s="1"/>
  <c r="G723" i="6"/>
  <c r="G724" i="6"/>
  <c r="G725" i="6" s="1"/>
  <c r="G726" i="6" s="1"/>
  <c r="G727" i="6" s="1"/>
  <c r="G728" i="6" s="1"/>
  <c r="G729" i="6" s="1"/>
  <c r="G730" i="6" s="1"/>
  <c r="G731" i="6" s="1"/>
  <c r="G732" i="6" s="1"/>
  <c r="G733" i="6" s="1"/>
  <c r="G734" i="6" s="1"/>
  <c r="G735" i="6" s="1"/>
  <c r="G736" i="6" s="1"/>
  <c r="G737" i="6" s="1"/>
  <c r="G738" i="6" s="1"/>
  <c r="G739" i="6" s="1"/>
  <c r="G740" i="6" s="1"/>
  <c r="G741" i="6"/>
  <c r="G742" i="6"/>
  <c r="G743" i="6" s="1"/>
  <c r="G744" i="6" s="1"/>
  <c r="G745" i="6" s="1"/>
  <c r="G746" i="6" s="1"/>
  <c r="G747" i="6" s="1"/>
  <c r="G748" i="6" s="1"/>
  <c r="G749" i="6" s="1"/>
  <c r="G750" i="6" s="1"/>
  <c r="G751" i="6" s="1"/>
  <c r="G752" i="6" s="1"/>
  <c r="G753" i="6"/>
  <c r="G754" i="6" s="1"/>
  <c r="G755" i="6" s="1"/>
  <c r="G756" i="6"/>
  <c r="G757" i="6" s="1"/>
  <c r="G758" i="6" s="1"/>
  <c r="G759" i="6" s="1"/>
  <c r="G760" i="6" s="1"/>
  <c r="G761" i="6" s="1"/>
  <c r="G762" i="6" s="1"/>
  <c r="G763" i="6" s="1"/>
  <c r="G764" i="6" s="1"/>
  <c r="G765" i="6" s="1"/>
  <c r="G766" i="6" s="1"/>
  <c r="G767" i="6" s="1"/>
  <c r="G768" i="6" s="1"/>
  <c r="G769" i="6" s="1"/>
  <c r="G770" i="6" s="1"/>
  <c r="G771" i="6" s="1"/>
  <c r="G772" i="6" s="1"/>
  <c r="G773" i="6" s="1"/>
  <c r="G774" i="6" s="1"/>
  <c r="G775" i="6" s="1"/>
  <c r="G776" i="6" s="1"/>
  <c r="G777" i="6" s="1"/>
  <c r="G778" i="6" s="1"/>
  <c r="G779" i="6" s="1"/>
  <c r="G780" i="6" s="1"/>
  <c r="G781" i="6" s="1"/>
  <c r="G782" i="6" s="1"/>
  <c r="G783" i="6" s="1"/>
  <c r="G784" i="6" s="1"/>
  <c r="G785" i="6" s="1"/>
  <c r="G786" i="6" s="1"/>
  <c r="G787" i="6" s="1"/>
  <c r="G788" i="6" s="1"/>
  <c r="G789" i="6" s="1"/>
  <c r="G790" i="6" s="1"/>
  <c r="G791" i="6" s="1"/>
  <c r="G792" i="6" s="1"/>
  <c r="G793" i="6" s="1"/>
  <c r="G794" i="6" s="1"/>
  <c r="G795" i="6" s="1"/>
  <c r="G796" i="6" s="1"/>
  <c r="G797" i="6" s="1"/>
  <c r="G798" i="6" s="1"/>
  <c r="G799" i="6" s="1"/>
  <c r="G800" i="6" s="1"/>
  <c r="G801" i="6" s="1"/>
  <c r="G802" i="6"/>
  <c r="G803" i="6"/>
  <c r="G804" i="6"/>
  <c r="G805" i="6" s="1"/>
  <c r="G806" i="6"/>
  <c r="G807" i="6" s="1"/>
  <c r="G808" i="6" s="1"/>
  <c r="G809" i="6" s="1"/>
  <c r="G810" i="6" s="1"/>
  <c r="G811" i="6" s="1"/>
  <c r="G812" i="6" s="1"/>
  <c r="G813" i="6" s="1"/>
  <c r="G814" i="6" s="1"/>
  <c r="G815" i="6" s="1"/>
  <c r="G816" i="6" s="1"/>
  <c r="G817" i="6"/>
  <c r="G818" i="6" s="1"/>
  <c r="G819" i="6" s="1"/>
  <c r="G820" i="6" s="1"/>
  <c r="G821" i="6" s="1"/>
  <c r="G822" i="6" s="1"/>
  <c r="G823" i="6" s="1"/>
  <c r="G824" i="6" s="1"/>
  <c r="G825" i="6" s="1"/>
  <c r="G826" i="6" s="1"/>
  <c r="G827" i="6" s="1"/>
  <c r="G828" i="6" s="1"/>
  <c r="G829" i="6" s="1"/>
  <c r="G830" i="6" s="1"/>
  <c r="G831" i="6" s="1"/>
  <c r="G832" i="6" s="1"/>
  <c r="G833" i="6" s="1"/>
  <c r="G834" i="6" s="1"/>
  <c r="G835" i="6" s="1"/>
  <c r="G836" i="6" s="1"/>
  <c r="G837" i="6" s="1"/>
  <c r="G838" i="6" s="1"/>
  <c r="G839" i="6" s="1"/>
  <c r="G840" i="6" s="1"/>
  <c r="G841" i="6" s="1"/>
  <c r="G842" i="6" s="1"/>
  <c r="G843" i="6" s="1"/>
  <c r="G844" i="6" s="1"/>
  <c r="G845" i="6"/>
  <c r="G846" i="6" s="1"/>
  <c r="G847" i="6" s="1"/>
  <c r="G848" i="6" s="1"/>
  <c r="G849" i="6" s="1"/>
  <c r="G850" i="6" s="1"/>
  <c r="G851" i="6" s="1"/>
  <c r="G852" i="6" s="1"/>
  <c r="G853" i="6" s="1"/>
  <c r="G854" i="6" s="1"/>
  <c r="G855" i="6" s="1"/>
  <c r="G856" i="6" s="1"/>
  <c r="G857" i="6" s="1"/>
  <c r="G858" i="6" s="1"/>
  <c r="G859" i="6" s="1"/>
  <c r="G860" i="6" s="1"/>
  <c r="G861" i="6" s="1"/>
  <c r="G862" i="6" s="1"/>
  <c r="G863" i="6" s="1"/>
  <c r="G864" i="6" s="1"/>
  <c r="G865" i="6" s="1"/>
  <c r="G866" i="6" s="1"/>
  <c r="G867" i="6" s="1"/>
  <c r="G868" i="6" s="1"/>
  <c r="G869" i="6" s="1"/>
  <c r="G870" i="6" s="1"/>
  <c r="G871" i="6" s="1"/>
  <c r="G872" i="6" s="1"/>
  <c r="G873" i="6" s="1"/>
  <c r="G874" i="6" s="1"/>
  <c r="G875" i="6" s="1"/>
  <c r="G876" i="6" s="1"/>
  <c r="G877" i="6" s="1"/>
  <c r="G878" i="6" s="1"/>
  <c r="G879" i="6" s="1"/>
  <c r="G880" i="6" s="1"/>
  <c r="G881" i="6" s="1"/>
  <c r="G882" i="6" s="1"/>
  <c r="G883" i="6" s="1"/>
  <c r="G884" i="6" s="1"/>
  <c r="G885" i="6" s="1"/>
  <c r="G886" i="6" s="1"/>
  <c r="G887" i="6" s="1"/>
  <c r="G888" i="6" s="1"/>
  <c r="G889" i="6" s="1"/>
  <c r="G890" i="6" s="1"/>
  <c r="G891" i="6" s="1"/>
  <c r="G892" i="6" s="1"/>
  <c r="G893" i="6" s="1"/>
  <c r="G894" i="6" s="1"/>
  <c r="G895" i="6" s="1"/>
  <c r="G896" i="6" s="1"/>
  <c r="G897" i="6" s="1"/>
  <c r="G898" i="6" s="1"/>
  <c r="G899" i="6" s="1"/>
  <c r="G900" i="6" s="1"/>
  <c r="G901" i="6" s="1"/>
  <c r="G902" i="6" s="1"/>
  <c r="G903" i="6" s="1"/>
  <c r="G904" i="6" s="1"/>
  <c r="G905" i="6" s="1"/>
  <c r="G906" i="6" s="1"/>
  <c r="G907" i="6" s="1"/>
  <c r="G908" i="6" s="1"/>
  <c r="G909" i="6" s="1"/>
  <c r="G910" i="6" s="1"/>
  <c r="G911" i="6" s="1"/>
  <c r="G912" i="6" s="1"/>
  <c r="G913" i="6" s="1"/>
  <c r="G914" i="6" s="1"/>
  <c r="G915" i="6" s="1"/>
  <c r="G916" i="6" s="1"/>
  <c r="G917" i="6" s="1"/>
  <c r="G918" i="6" s="1"/>
  <c r="G919" i="6" s="1"/>
  <c r="G920" i="6" s="1"/>
  <c r="G921" i="6" s="1"/>
  <c r="G922" i="6" s="1"/>
  <c r="G923" i="6" s="1"/>
  <c r="G924" i="6" s="1"/>
  <c r="G925" i="6" s="1"/>
  <c r="G926" i="6" s="1"/>
  <c r="G927" i="6" s="1"/>
  <c r="G928" i="6" s="1"/>
  <c r="G929" i="6" s="1"/>
  <c r="G930" i="6" s="1"/>
  <c r="G931" i="6" s="1"/>
  <c r="G932" i="6" s="1"/>
  <c r="G933" i="6" s="1"/>
  <c r="G934" i="6" s="1"/>
  <c r="G935" i="6" s="1"/>
  <c r="G936" i="6" s="1"/>
  <c r="G937" i="6" s="1"/>
  <c r="G938" i="6" s="1"/>
  <c r="G939" i="6" s="1"/>
  <c r="G940" i="6" s="1"/>
  <c r="G941" i="6" s="1"/>
  <c r="G942" i="6" s="1"/>
  <c r="G943" i="6" s="1"/>
  <c r="G944" i="6" s="1"/>
  <c r="G945" i="6" s="1"/>
  <c r="G946" i="6" s="1"/>
  <c r="G947" i="6" s="1"/>
  <c r="G948" i="6" s="1"/>
  <c r="G949" i="6" s="1"/>
  <c r="G950" i="6" s="1"/>
  <c r="G951" i="6" s="1"/>
  <c r="G952" i="6" s="1"/>
  <c r="G953" i="6" s="1"/>
  <c r="G954" i="6"/>
  <c r="G955" i="6" s="1"/>
  <c r="G956" i="6" s="1"/>
  <c r="G957" i="6" s="1"/>
  <c r="G958" i="6" s="1"/>
  <c r="G959" i="6" s="1"/>
  <c r="G960" i="6" s="1"/>
  <c r="G961" i="6" s="1"/>
  <c r="G962" i="6" s="1"/>
  <c r="G963" i="6" s="1"/>
  <c r="G964" i="6" s="1"/>
  <c r="G965" i="6" s="1"/>
  <c r="G966" i="6" s="1"/>
  <c r="G967" i="6" s="1"/>
  <c r="G968" i="6" s="1"/>
  <c r="G969" i="6" s="1"/>
  <c r="G970" i="6" s="1"/>
  <c r="G971" i="6" s="1"/>
  <c r="G972" i="6" s="1"/>
  <c r="G973" i="6" s="1"/>
  <c r="G974" i="6" s="1"/>
  <c r="G975" i="6" s="1"/>
  <c r="G976" i="6" s="1"/>
  <c r="G977" i="6" s="1"/>
  <c r="G978" i="6" s="1"/>
  <c r="G979" i="6" s="1"/>
  <c r="G980" i="6" s="1"/>
  <c r="G981" i="6"/>
  <c r="G982" i="6"/>
  <c r="G983" i="6" s="1"/>
  <c r="G984" i="6" s="1"/>
  <c r="G985" i="6" s="1"/>
  <c r="G986" i="6" s="1"/>
  <c r="G987" i="6" s="1"/>
  <c r="G988" i="6" s="1"/>
  <c r="G989" i="6" s="1"/>
  <c r="G990" i="6" s="1"/>
  <c r="G991" i="6" s="1"/>
  <c r="G992" i="6" s="1"/>
  <c r="G993" i="6" s="1"/>
  <c r="G994" i="6" s="1"/>
  <c r="G995" i="6" s="1"/>
  <c r="G996" i="6" s="1"/>
  <c r="G997" i="6" s="1"/>
  <c r="G998" i="6" s="1"/>
  <c r="G999" i="6" s="1"/>
  <c r="G1000" i="6" s="1"/>
  <c r="G1001" i="6" s="1"/>
  <c r="G1002" i="6" s="1"/>
  <c r="G1003" i="6" s="1"/>
  <c r="G1004" i="6" s="1"/>
  <c r="G1005" i="6" s="1"/>
  <c r="G1006" i="6" s="1"/>
  <c r="G1007" i="6" s="1"/>
  <c r="G1008" i="6" s="1"/>
  <c r="G1009" i="6" s="1"/>
  <c r="G1010" i="6" s="1"/>
  <c r="G1011" i="6" s="1"/>
  <c r="G1012" i="6" s="1"/>
  <c r="G1013" i="6" s="1"/>
  <c r="G1014" i="6" s="1"/>
  <c r="G1015" i="6" s="1"/>
  <c r="G1016" i="6" s="1"/>
  <c r="G1017" i="6" s="1"/>
  <c r="G1018" i="6" s="1"/>
  <c r="G1019" i="6" s="1"/>
  <c r="G1020" i="6" s="1"/>
  <c r="G1021" i="6" s="1"/>
  <c r="G1022" i="6" s="1"/>
  <c r="G1023" i="6" s="1"/>
  <c r="G1024" i="6" s="1"/>
  <c r="G1025" i="6" s="1"/>
  <c r="G1026" i="6" s="1"/>
  <c r="G1027" i="6" s="1"/>
  <c r="G1028" i="6" s="1"/>
  <c r="G1029" i="6" s="1"/>
  <c r="G1030" i="6" s="1"/>
  <c r="G1031" i="6" s="1"/>
  <c r="G1032" i="6" s="1"/>
  <c r="G1033" i="6" s="1"/>
  <c r="G1034" i="6" s="1"/>
  <c r="G1035" i="6" s="1"/>
  <c r="G1036" i="6" s="1"/>
  <c r="G1037" i="6" s="1"/>
  <c r="G1038" i="6" s="1"/>
  <c r="G1039" i="6" s="1"/>
  <c r="G1040" i="6" s="1"/>
  <c r="G1041" i="6" s="1"/>
  <c r="G1042" i="6" s="1"/>
  <c r="G1043" i="6" s="1"/>
  <c r="G1044" i="6" s="1"/>
  <c r="G1045" i="6" s="1"/>
  <c r="G1046" i="6" s="1"/>
  <c r="G1047" i="6" s="1"/>
  <c r="G1048" i="6" s="1"/>
  <c r="G1049" i="6" s="1"/>
  <c r="G1050" i="6" s="1"/>
  <c r="G1051" i="6" s="1"/>
  <c r="G1052" i="6" s="1"/>
  <c r="G1053" i="6" s="1"/>
  <c r="G1054" i="6" s="1"/>
  <c r="G1055" i="6" s="1"/>
  <c r="G1056" i="6" s="1"/>
  <c r="G1057" i="6" s="1"/>
  <c r="G1058" i="6" s="1"/>
  <c r="G1059" i="6" s="1"/>
  <c r="G1060" i="6" s="1"/>
  <c r="G1061" i="6" s="1"/>
  <c r="G1062" i="6" s="1"/>
  <c r="G1063" i="6" s="1"/>
  <c r="G1064" i="6" s="1"/>
  <c r="G1065" i="6" s="1"/>
  <c r="G1066" i="6" s="1"/>
  <c r="G1067" i="6" s="1"/>
  <c r="G1068" i="6" s="1"/>
  <c r="G1069" i="6" s="1"/>
  <c r="G1070" i="6" s="1"/>
  <c r="G1071" i="6" s="1"/>
  <c r="G1072" i="6" s="1"/>
  <c r="G1073" i="6" s="1"/>
  <c r="G1074" i="6" s="1"/>
  <c r="G1075" i="6" s="1"/>
  <c r="G1076" i="6" s="1"/>
  <c r="G1077" i="6" s="1"/>
  <c r="G1078" i="6" s="1"/>
  <c r="G1079" i="6" s="1"/>
  <c r="G1080" i="6" s="1"/>
  <c r="G1081" i="6" s="1"/>
  <c r="G1082" i="6" s="1"/>
  <c r="G1083" i="6" s="1"/>
  <c r="G1084" i="6" s="1"/>
  <c r="G1085" i="6"/>
  <c r="G1086" i="6" s="1"/>
  <c r="G1087" i="6" s="1"/>
  <c r="G1088" i="6" s="1"/>
  <c r="G1089" i="6" s="1"/>
  <c r="G1090" i="6" s="1"/>
  <c r="G1091" i="6" s="1"/>
  <c r="G1092" i="6" s="1"/>
  <c r="G1093" i="6" s="1"/>
  <c r="G1094" i="6" s="1"/>
  <c r="G1095" i="6" s="1"/>
  <c r="G1096" i="6" s="1"/>
  <c r="G1097" i="6" s="1"/>
  <c r="G1098" i="6" s="1"/>
  <c r="G1099" i="6" s="1"/>
  <c r="G1100" i="6" s="1"/>
  <c r="G1101" i="6" s="1"/>
  <c r="G1102" i="6" s="1"/>
  <c r="G1103" i="6" s="1"/>
  <c r="G1104" i="6" s="1"/>
  <c r="G1105" i="6" s="1"/>
  <c r="G1106" i="6" s="1"/>
  <c r="G1107" i="6" s="1"/>
  <c r="G1108" i="6" s="1"/>
  <c r="G1109" i="6" s="1"/>
  <c r="G1110" i="6" s="1"/>
  <c r="G1111" i="6" s="1"/>
  <c r="G1112" i="6" s="1"/>
  <c r="G1113" i="6" s="1"/>
  <c r="G1114" i="6" s="1"/>
  <c r="G1115" i="6" s="1"/>
  <c r="G1116" i="6" s="1"/>
  <c r="G1117" i="6" s="1"/>
  <c r="G1118" i="6" s="1"/>
  <c r="G1119" i="6" s="1"/>
  <c r="G1120" i="6" s="1"/>
  <c r="G1121" i="6" s="1"/>
  <c r="G1122" i="6" s="1"/>
  <c r="G1123" i="6" s="1"/>
  <c r="G1124" i="6" s="1"/>
  <c r="G1125" i="6" s="1"/>
  <c r="G1126" i="6" s="1"/>
  <c r="G1127" i="6" s="1"/>
  <c r="G1128" i="6" s="1"/>
  <c r="G1129" i="6" s="1"/>
  <c r="G1130" i="6" s="1"/>
  <c r="G1131" i="6" s="1"/>
  <c r="G1132" i="6" s="1"/>
  <c r="G1133" i="6" s="1"/>
  <c r="G1134" i="6" s="1"/>
  <c r="G1135" i="6" s="1"/>
  <c r="G1136" i="6" s="1"/>
  <c r="G1137" i="6" s="1"/>
  <c r="G1138" i="6" s="1"/>
  <c r="G1139" i="6" s="1"/>
  <c r="G1140" i="6" s="1"/>
  <c r="G1141" i="6" s="1"/>
  <c r="G1142" i="6" s="1"/>
  <c r="G1143" i="6" s="1"/>
  <c r="G1144" i="6" s="1"/>
  <c r="G1145" i="6" s="1"/>
  <c r="G1146" i="6" s="1"/>
  <c r="G1147" i="6" s="1"/>
  <c r="G1148" i="6" s="1"/>
  <c r="G1149" i="6" s="1"/>
  <c r="G1150" i="6" s="1"/>
  <c r="G1151" i="6" s="1"/>
  <c r="G1152" i="6" s="1"/>
  <c r="G1153" i="6" s="1"/>
  <c r="G1154" i="6" s="1"/>
  <c r="G1155" i="6" s="1"/>
  <c r="G1156" i="6" s="1"/>
  <c r="G1157" i="6" s="1"/>
  <c r="G1158" i="6" s="1"/>
  <c r="G1159" i="6" s="1"/>
  <c r="G1160" i="6"/>
  <c r="G1161" i="6" s="1"/>
  <c r="G1162" i="6" s="1"/>
  <c r="G1163" i="6" s="1"/>
  <c r="G1164" i="6" s="1"/>
  <c r="G1165" i="6" s="1"/>
  <c r="G1166" i="6" s="1"/>
  <c r="G1167" i="6" s="1"/>
  <c r="G1168" i="6" s="1"/>
  <c r="G1169" i="6" s="1"/>
  <c r="G1170" i="6" s="1"/>
  <c r="G1171" i="6" s="1"/>
  <c r="G1172" i="6" s="1"/>
  <c r="G1173" i="6" s="1"/>
  <c r="G1174" i="6" s="1"/>
  <c r="G1175" i="6" s="1"/>
  <c r="G1176" i="6" s="1"/>
  <c r="G1177" i="6" s="1"/>
  <c r="G1178" i="6" s="1"/>
  <c r="G1179" i="6" s="1"/>
  <c r="G1180" i="6" s="1"/>
  <c r="G1181" i="6" s="1"/>
  <c r="G1182" i="6" s="1"/>
  <c r="G1183" i="6" s="1"/>
  <c r="G1184" i="6" s="1"/>
  <c r="G1185" i="6" s="1"/>
  <c r="G1186" i="6" s="1"/>
  <c r="G1187" i="6" s="1"/>
  <c r="G1188" i="6" s="1"/>
  <c r="G1189" i="6" s="1"/>
  <c r="G1190" i="6" s="1"/>
  <c r="G1191" i="6" s="1"/>
  <c r="G1192" i="6" s="1"/>
  <c r="G1193" i="6" s="1"/>
  <c r="G1194" i="6" s="1"/>
  <c r="G1195" i="6" s="1"/>
  <c r="G1196" i="6" s="1"/>
  <c r="G1197" i="6" s="1"/>
  <c r="G1198" i="6" s="1"/>
  <c r="G1199" i="6" s="1"/>
  <c r="G1200" i="6" s="1"/>
  <c r="G1201" i="6" s="1"/>
  <c r="G1202" i="6" s="1"/>
  <c r="G1203" i="6" s="1"/>
  <c r="G1204" i="6" s="1"/>
  <c r="G1205" i="6" s="1"/>
  <c r="G1206" i="6" s="1"/>
  <c r="G1207" i="6" s="1"/>
  <c r="G1208" i="6" s="1"/>
  <c r="G1209" i="6" s="1"/>
  <c r="G1210" i="6" s="1"/>
  <c r="G1211" i="6" s="1"/>
  <c r="G1212" i="6" s="1"/>
  <c r="G1213" i="6" s="1"/>
  <c r="G1214" i="6" s="1"/>
  <c r="G1215" i="6" s="1"/>
  <c r="G1216" i="6" s="1"/>
  <c r="G1217" i="6" s="1"/>
  <c r="G1218" i="6" s="1"/>
  <c r="G1219" i="6" s="1"/>
  <c r="G1220" i="6" s="1"/>
  <c r="G1221" i="6" s="1"/>
  <c r="G1222" i="6" s="1"/>
  <c r="G1223" i="6" s="1"/>
  <c r="G1224" i="6" s="1"/>
  <c r="G1225" i="6" s="1"/>
  <c r="G1226" i="6" s="1"/>
  <c r="G1227" i="6" s="1"/>
  <c r="G1228" i="6" s="1"/>
  <c r="G1229" i="6" s="1"/>
  <c r="G1230" i="6" s="1"/>
  <c r="G1231" i="6" s="1"/>
  <c r="G1232" i="6" s="1"/>
  <c r="G1233" i="6" s="1"/>
  <c r="G1234" i="6" s="1"/>
  <c r="G1235" i="6" s="1"/>
  <c r="G1236" i="6" s="1"/>
  <c r="G1237" i="6" s="1"/>
  <c r="G1238" i="6" s="1"/>
  <c r="G1239" i="6" s="1"/>
  <c r="G1240" i="6" s="1"/>
  <c r="G1241" i="6" s="1"/>
  <c r="G1242" i="6" s="1"/>
  <c r="G1243" i="6" s="1"/>
  <c r="G1244" i="6" s="1"/>
  <c r="G1245" i="6" s="1"/>
  <c r="G1246" i="6" s="1"/>
  <c r="G1247" i="6" s="1"/>
  <c r="G1248" i="6" s="1"/>
  <c r="G1249" i="6" s="1"/>
  <c r="G1250" i="6" s="1"/>
  <c r="G1251" i="6" s="1"/>
  <c r="G1252" i="6" s="1"/>
  <c r="G1253" i="6" s="1"/>
  <c r="G1254" i="6" s="1"/>
  <c r="G1255" i="6" s="1"/>
  <c r="G1256" i="6" s="1"/>
  <c r="G1257" i="6" s="1"/>
  <c r="G1258" i="6" s="1"/>
  <c r="G1259" i="6" s="1"/>
  <c r="G1260" i="6" s="1"/>
  <c r="G1261" i="6" s="1"/>
  <c r="G1262" i="6" s="1"/>
  <c r="G1263" i="6" s="1"/>
  <c r="G1264" i="6" s="1"/>
  <c r="G1265" i="6" s="1"/>
  <c r="G1266" i="6" s="1"/>
  <c r="G1267" i="6" s="1"/>
  <c r="G1268" i="6" s="1"/>
  <c r="G1269" i="6" s="1"/>
  <c r="G1270" i="6" s="1"/>
  <c r="G1271" i="6" s="1"/>
  <c r="G1272" i="6" s="1"/>
  <c r="G1273" i="6" s="1"/>
  <c r="G1274" i="6" s="1"/>
  <c r="G1275" i="6" s="1"/>
  <c r="G1276" i="6" s="1"/>
  <c r="G1277" i="6" s="1"/>
  <c r="G1278" i="6" s="1"/>
  <c r="G1279" i="6" s="1"/>
  <c r="G1280" i="6" s="1"/>
  <c r="G1281" i="6" s="1"/>
  <c r="G1282" i="6" s="1"/>
  <c r="G1283" i="6" s="1"/>
  <c r="G1284" i="6" s="1"/>
  <c r="G1285" i="6" s="1"/>
  <c r="G1286" i="6" s="1"/>
  <c r="G1287" i="6" s="1"/>
  <c r="G1288" i="6" s="1"/>
  <c r="G1289" i="6" s="1"/>
  <c r="G1290" i="6" s="1"/>
  <c r="G1291" i="6" s="1"/>
  <c r="G1292" i="6" s="1"/>
  <c r="G1293" i="6" s="1"/>
  <c r="G1294" i="6" s="1"/>
  <c r="G1295" i="6" s="1"/>
  <c r="G1296" i="6" s="1"/>
  <c r="G1297" i="6" s="1"/>
  <c r="G1298" i="6" s="1"/>
  <c r="G1299" i="6" s="1"/>
  <c r="G1300" i="6" s="1"/>
  <c r="G1301" i="6" s="1"/>
  <c r="G1302" i="6" s="1"/>
  <c r="G1303" i="6" s="1"/>
  <c r="G1304" i="6" s="1"/>
  <c r="G1305" i="6" s="1"/>
  <c r="G1306" i="6" s="1"/>
  <c r="G1307" i="6" s="1"/>
  <c r="G1308" i="6" s="1"/>
  <c r="G1309" i="6" s="1"/>
  <c r="G1310" i="6" s="1"/>
  <c r="G1311" i="6" s="1"/>
  <c r="G1312" i="6" s="1"/>
  <c r="G1313" i="6" s="1"/>
  <c r="G1314" i="6" s="1"/>
  <c r="G1315" i="6" s="1"/>
  <c r="G1316" i="6" s="1"/>
  <c r="G1317" i="6" s="1"/>
  <c r="G1318" i="6" s="1"/>
  <c r="G1319" i="6" s="1"/>
  <c r="G1320" i="6" s="1"/>
  <c r="G1321" i="6" s="1"/>
  <c r="G1322" i="6" s="1"/>
  <c r="G1323" i="6" s="1"/>
  <c r="G1324" i="6" s="1"/>
  <c r="G1325" i="6" s="1"/>
  <c r="G1326" i="6" s="1"/>
  <c r="G1327" i="6" s="1"/>
  <c r="G1328" i="6" s="1"/>
  <c r="G1329" i="6"/>
  <c r="G1330" i="6" s="1"/>
  <c r="G1331" i="6" s="1"/>
  <c r="G1332" i="6" s="1"/>
  <c r="G1333" i="6" s="1"/>
  <c r="G1334" i="6" s="1"/>
  <c r="G1335" i="6" s="1"/>
  <c r="G1336" i="6" s="1"/>
  <c r="G1337" i="6" s="1"/>
  <c r="G1338" i="6" s="1"/>
  <c r="G1339" i="6" s="1"/>
  <c r="G1340" i="6" s="1"/>
  <c r="G1341" i="6" s="1"/>
  <c r="G1342" i="6" s="1"/>
  <c r="G1343" i="6" s="1"/>
  <c r="G1344" i="6" s="1"/>
  <c r="G1345" i="6" s="1"/>
  <c r="G1346" i="6" s="1"/>
  <c r="G1347" i="6" s="1"/>
  <c r="G1348" i="6" s="1"/>
  <c r="G1349" i="6" s="1"/>
  <c r="G1350" i="6" s="1"/>
  <c r="G1351" i="6" s="1"/>
  <c r="G1352" i="6" s="1"/>
  <c r="G1353" i="6" s="1"/>
  <c r="G1354" i="6" s="1"/>
  <c r="G1355" i="6" s="1"/>
  <c r="G1356" i="6" s="1"/>
  <c r="G1357" i="6" s="1"/>
  <c r="G1358" i="6" s="1"/>
  <c r="G1359" i="6" s="1"/>
  <c r="G1360" i="6" s="1"/>
  <c r="G1361" i="6" s="1"/>
  <c r="G1362" i="6" s="1"/>
  <c r="G1363" i="6" s="1"/>
  <c r="G1364" i="6" s="1"/>
  <c r="G1365" i="6" s="1"/>
  <c r="G1366" i="6" s="1"/>
  <c r="G1367" i="6" s="1"/>
  <c r="G1368" i="6" s="1"/>
  <c r="G1369" i="6" s="1"/>
  <c r="G1370" i="6" s="1"/>
  <c r="G1371" i="6" s="1"/>
  <c r="G1372" i="6" s="1"/>
  <c r="G1373" i="6" s="1"/>
  <c r="G1374" i="6" s="1"/>
  <c r="G1375" i="6" s="1"/>
  <c r="G1376" i="6" s="1"/>
  <c r="G1377" i="6" s="1"/>
  <c r="G1378" i="6" s="1"/>
  <c r="G1379" i="6" s="1"/>
  <c r="G1380" i="6" s="1"/>
  <c r="G1381" i="6" s="1"/>
  <c r="G1382" i="6" s="1"/>
  <c r="G1383" i="6" s="1"/>
  <c r="G1384" i="6" s="1"/>
  <c r="G1385" i="6" s="1"/>
  <c r="G1386" i="6" s="1"/>
  <c r="G1387" i="6" s="1"/>
  <c r="G1388" i="6" s="1"/>
  <c r="G1389" i="6" s="1"/>
  <c r="G1390" i="6" s="1"/>
  <c r="G1391" i="6" s="1"/>
  <c r="G1392" i="6" s="1"/>
  <c r="G1393" i="6" s="1"/>
  <c r="G1394" i="6" s="1"/>
  <c r="G1395" i="6" s="1"/>
  <c r="G1396" i="6" s="1"/>
  <c r="G1397" i="6" s="1"/>
  <c r="G1398" i="6" s="1"/>
  <c r="G1399" i="6" s="1"/>
  <c r="G1400" i="6" s="1"/>
  <c r="G1401" i="6" s="1"/>
  <c r="G1402" i="6" s="1"/>
  <c r="G1403" i="6" s="1"/>
  <c r="G1404" i="6" s="1"/>
  <c r="G1405" i="6" s="1"/>
  <c r="G1406" i="6" s="1"/>
  <c r="G1407" i="6" s="1"/>
  <c r="G1408" i="6" s="1"/>
  <c r="G1409" i="6" s="1"/>
  <c r="G1410" i="6" s="1"/>
  <c r="G1411" i="6" s="1"/>
  <c r="G1412" i="6" s="1"/>
  <c r="G1413" i="6" s="1"/>
  <c r="G1414" i="6" s="1"/>
  <c r="G1415" i="6" s="1"/>
  <c r="G1416" i="6" s="1"/>
  <c r="G1417" i="6" s="1"/>
  <c r="G1418" i="6" s="1"/>
  <c r="G1419" i="6" s="1"/>
  <c r="G1420" i="6" s="1"/>
  <c r="G1421" i="6" s="1"/>
  <c r="G1422" i="6" s="1"/>
  <c r="G1423" i="6"/>
  <c r="G1424" i="6"/>
  <c r="G1425" i="6" s="1"/>
  <c r="G1426" i="6" s="1"/>
  <c r="G1427" i="6" s="1"/>
  <c r="G1428" i="6" s="1"/>
  <c r="G1429" i="6" s="1"/>
  <c r="G1430" i="6" s="1"/>
  <c r="G1431" i="6" s="1"/>
  <c r="G1432" i="6" s="1"/>
  <c r="G1433" i="6" s="1"/>
  <c r="G1434" i="6" s="1"/>
  <c r="G1435" i="6" s="1"/>
  <c r="G1436" i="6" s="1"/>
  <c r="G1437" i="6" s="1"/>
  <c r="G1438" i="6" s="1"/>
  <c r="G1439" i="6" s="1"/>
  <c r="G1440" i="6" s="1"/>
  <c r="G1441" i="6" s="1"/>
  <c r="G1442" i="6" s="1"/>
  <c r="G1443" i="6" s="1"/>
  <c r="G1444" i="6" s="1"/>
  <c r="G1445" i="6" s="1"/>
  <c r="G1446" i="6" s="1"/>
  <c r="G1447" i="6" s="1"/>
  <c r="G1448" i="6" s="1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</calcChain>
</file>

<file path=xl/sharedStrings.xml><?xml version="1.0" encoding="utf-8"?>
<sst xmlns="http://schemas.openxmlformats.org/spreadsheetml/2006/main" count="2905" uniqueCount="2642">
  <si>
    <t>11-0000</t>
  </si>
  <si>
    <t>Management Occupations</t>
  </si>
  <si>
    <t>11-1000</t>
  </si>
  <si>
    <t>Top Executives</t>
  </si>
  <si>
    <t>11-1010</t>
  </si>
  <si>
    <t>Chief Executives</t>
  </si>
  <si>
    <t>11-1011</t>
  </si>
  <si>
    <t>11-1020</t>
  </si>
  <si>
    <t>General and Operations Managers</t>
  </si>
  <si>
    <t>11-1021</t>
  </si>
  <si>
    <t>11-1030</t>
  </si>
  <si>
    <t>Legislators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</si>
  <si>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</si>
  <si>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</si>
  <si>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</si>
  <si>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</si>
  <si>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</si>
  <si>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</si>
  <si>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</si>
  <si>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</si>
  <si>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</si>
  <si>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</si>
  <si>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</si>
  <si>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</si>
  <si>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</si>
  <si>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</si>
  <si>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11-2032</t>
  </si>
  <si>
    <t>Public Relations Managers</t>
  </si>
  <si>
    <t>11-2033</t>
  </si>
  <si>
    <t>Fundraising Managers</t>
  </si>
  <si>
    <t>11-3000</t>
  </si>
  <si>
    <t>Operations Specialties Managers</t>
  </si>
  <si>
    <t>11-3010</t>
  </si>
  <si>
    <t>Administrative Services and Facilities Managers</t>
  </si>
  <si>
    <t>11-3012</t>
  </si>
  <si>
    <t>Administrative Services Managers</t>
  </si>
  <si>
    <t>11-3013</t>
  </si>
  <si>
    <t>Facilities Managers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</si>
  <si>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</si>
  <si>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</si>
  <si>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</si>
  <si>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</si>
  <si>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</si>
  <si>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</si>
  <si>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</si>
  <si>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</si>
  <si>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</si>
  <si>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</si>
  <si>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</si>
  <si>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</si>
  <si>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</si>
  <si>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</si>
  <si>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</si>
  <si>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</si>
  <si>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</si>
  <si>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</si>
  <si>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</si>
  <si>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</si>
  <si>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</si>
  <si>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</si>
  <si>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</si>
  <si>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</si>
  <si>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</si>
  <si>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</si>
  <si>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</si>
  <si>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</si>
  <si>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</si>
  <si>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</si>
  <si>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</si>
  <si>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</si>
  <si>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</si>
  <si>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and Childcare Administrators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</si>
  <si>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</si>
  <si>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</si>
  <si>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</si>
  <si>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</si>
  <si>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</si>
  <si>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</si>
  <si>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</si>
  <si>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</si>
  <si>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</si>
  <si>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</si>
  <si>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</si>
  <si>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</si>
  <si>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</si>
  <si>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</si>
  <si>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11-9070</t>
  </si>
  <si>
    <t>Entertainment and Recreation Managers</t>
  </si>
  <si>
    <t>11-9071</t>
  </si>
  <si>
    <t>Gambling Managers</t>
  </si>
  <si>
    <t>11-9072</t>
  </si>
  <si>
    <t>Entertainment and Recreation Managers, Except Gambling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</si>
  <si>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</si>
  <si>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</si>
  <si>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</si>
  <si>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</si>
  <si>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</si>
  <si>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</si>
  <si>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</si>
  <si>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</si>
  <si>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</si>
  <si>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</si>
  <si>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</si>
  <si>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</si>
  <si>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</si>
  <si>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</si>
  <si>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</si>
  <si>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</si>
  <si>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</si>
  <si>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</si>
  <si>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</si>
  <si>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</si>
  <si>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</si>
  <si>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11-9170</t>
  </si>
  <si>
    <t>Personal Service Managers</t>
  </si>
  <si>
    <t>11-9171</t>
  </si>
  <si>
    <t>Funeral Home Managers</t>
  </si>
  <si>
    <t>11-9179</t>
  </si>
  <si>
    <t>Personal Service Managers, All Other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</si>
  <si>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</si>
  <si>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</si>
  <si>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</si>
  <si>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</si>
  <si>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</si>
  <si>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</si>
  <si>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</si>
  <si>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</si>
  <si>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</si>
  <si>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</si>
  <si>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</si>
  <si>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</si>
  <si>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</si>
  <si>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</si>
  <si>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</si>
  <si>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</si>
  <si>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</si>
  <si>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</si>
  <si>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</si>
  <si>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</si>
  <si>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</si>
  <si>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</si>
  <si>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</si>
  <si>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</si>
  <si>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</si>
  <si>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</si>
  <si>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</si>
  <si>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</si>
  <si>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</si>
  <si>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</si>
  <si>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</si>
  <si>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</si>
  <si>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</si>
  <si>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</si>
  <si>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</si>
  <si>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</si>
  <si>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</si>
  <si>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</si>
  <si>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</si>
  <si>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</si>
  <si>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 and Project Management Specialists</t>
  </si>
  <si>
    <t>13-1081</t>
  </si>
  <si>
    <t>Logisticians</t>
  </si>
  <si>
    <t>13-1082</t>
  </si>
  <si>
    <t>Project Management Specialists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</si>
  <si>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</si>
  <si>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</si>
  <si>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</si>
  <si>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</si>
  <si>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</si>
  <si>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</si>
  <si>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</si>
  <si>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</si>
  <si>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</si>
  <si>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</si>
  <si>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</si>
  <si>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</si>
  <si>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</si>
  <si>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</si>
  <si>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</si>
  <si>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</si>
  <si>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</si>
  <si>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</si>
  <si>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</si>
  <si>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</si>
  <si>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</si>
  <si>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</si>
  <si>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</si>
  <si>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</si>
  <si>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</si>
  <si>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</si>
  <si>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</si>
  <si>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</si>
  <si>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Property Appraisers and Assessors</t>
  </si>
  <si>
    <t>13-2022</t>
  </si>
  <si>
    <t>Appraisers of Personal and Business Property</t>
  </si>
  <si>
    <t>13-2023</t>
  </si>
  <si>
    <t>Appraisers and Assessors of Real Estate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</si>
  <si>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</si>
  <si>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</si>
  <si>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</si>
  <si>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</si>
  <si>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</si>
  <si>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</si>
  <si>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</si>
  <si>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</si>
  <si>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</si>
  <si>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</si>
  <si>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</si>
  <si>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</si>
  <si>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</si>
  <si>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</si>
  <si>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</si>
  <si>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</si>
  <si>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</si>
  <si>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</si>
  <si>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</si>
  <si>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</si>
  <si>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</si>
  <si>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</si>
  <si>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</si>
  <si>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</si>
  <si>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</si>
  <si>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</si>
  <si>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</si>
  <si>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</si>
  <si>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</si>
  <si>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</si>
  <si>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</si>
  <si>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</si>
  <si>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</si>
  <si>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</si>
  <si>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</si>
  <si>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</si>
  <si>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</si>
  <si>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15-1200</t>
  </si>
  <si>
    <t>Computer Occupations</t>
  </si>
  <si>
    <t>15-1210</t>
  </si>
  <si>
    <t>Computer and Information Analysts</t>
  </si>
  <si>
    <t>15-1211</t>
  </si>
  <si>
    <t>Computer Systems Analysts</t>
  </si>
  <si>
    <t>15-1212</t>
  </si>
  <si>
    <t>Information Security Analysts</t>
  </si>
  <si>
    <t>15-1220</t>
  </si>
  <si>
    <t>Computer and Information Research Scientists</t>
  </si>
  <si>
    <t>15-1221</t>
  </si>
  <si>
    <t>15-1230</t>
  </si>
  <si>
    <t>Computer Support Specialists</t>
  </si>
  <si>
    <t>15-1231</t>
  </si>
  <si>
    <t>Computer Network Support Specialists</t>
  </si>
  <si>
    <t>15-1232</t>
  </si>
  <si>
    <t>Computer User Support Specialists</t>
  </si>
  <si>
    <t>15-1240</t>
  </si>
  <si>
    <t>Database and Network Administrators and Architects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</si>
  <si>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</si>
  <si>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</si>
  <si>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</si>
  <si>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</si>
  <si>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</si>
  <si>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</si>
  <si>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</si>
  <si>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</si>
  <si>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15-1250</t>
  </si>
  <si>
    <t>Software and Web Developers, Programmers, and Testers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</si>
  <si>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</si>
  <si>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</si>
  <si>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</si>
  <si>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</si>
  <si>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</si>
  <si>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</si>
  <si>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</si>
  <si>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</si>
  <si>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</si>
  <si>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</si>
  <si>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15-1290</t>
  </si>
  <si>
    <t>Miscellaneous Computer Occupations</t>
  </si>
  <si>
    <t>15-1299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</si>
  <si>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</si>
  <si>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</si>
  <si>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</si>
  <si>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</si>
  <si>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</si>
  <si>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</si>
  <si>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</si>
  <si>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</si>
  <si>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</si>
  <si>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</si>
  <si>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</si>
  <si>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</si>
  <si>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</si>
  <si>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</si>
  <si>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</si>
  <si>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15-2050</t>
  </si>
  <si>
    <t>Data Scientists</t>
  </si>
  <si>
    <t>15-2051</t>
  </si>
  <si>
    <t>15-2090</t>
  </si>
  <si>
    <t>Miscellaneous Mathematical Science Occupations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</si>
  <si>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</si>
  <si>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</si>
  <si>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</si>
  <si>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</si>
  <si>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</si>
  <si>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</si>
  <si>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</si>
  <si>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</si>
  <si>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</si>
  <si>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</si>
  <si>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</si>
  <si>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</si>
  <si>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</si>
  <si>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</si>
  <si>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</si>
  <si>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</si>
  <si>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</si>
  <si>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</si>
  <si>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</si>
  <si>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</si>
  <si>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</si>
  <si>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</si>
  <si>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</si>
  <si>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</si>
  <si>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</si>
  <si>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</si>
  <si>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</si>
  <si>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Bioengineers and 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</si>
  <si>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</si>
  <si>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</si>
  <si>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</si>
  <si>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</si>
  <si>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</si>
  <si>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</si>
  <si>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</si>
  <si>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</si>
  <si>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</si>
  <si>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</si>
  <si>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</si>
  <si>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</si>
  <si>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</si>
  <si>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</si>
  <si>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</si>
  <si>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</si>
  <si>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</si>
  <si>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</si>
  <si>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</si>
  <si>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</si>
  <si>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</si>
  <si>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</si>
  <si>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</si>
  <si>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</si>
  <si>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</si>
  <si>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</si>
  <si>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</si>
  <si>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</si>
  <si>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</si>
  <si>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</si>
  <si>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</si>
  <si>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</si>
  <si>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</si>
  <si>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</si>
  <si>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</si>
  <si>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</si>
  <si>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</si>
  <si>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</si>
  <si>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</si>
  <si>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</si>
  <si>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</si>
  <si>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</si>
  <si>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</si>
  <si>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</si>
  <si>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</si>
  <si>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</si>
  <si>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</si>
  <si>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</si>
  <si>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</si>
  <si>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</si>
  <si>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</si>
  <si>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</si>
  <si>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</si>
  <si>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</si>
  <si>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</si>
  <si>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</si>
  <si>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</si>
  <si>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</si>
  <si>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</si>
  <si>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</si>
  <si>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Technologists and Technicians, Except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</si>
  <si>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</si>
  <si>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</si>
  <si>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</si>
  <si>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</si>
  <si>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</si>
  <si>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</si>
  <si>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</si>
  <si>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</si>
  <si>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</si>
  <si>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</si>
  <si>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</si>
  <si>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</si>
  <si>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</si>
  <si>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</si>
  <si>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</si>
  <si>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</si>
  <si>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</si>
  <si>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</si>
  <si>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</si>
  <si>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</si>
  <si>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</si>
  <si>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</si>
  <si>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</si>
  <si>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</si>
  <si>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</si>
  <si>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</si>
  <si>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</si>
  <si>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</si>
  <si>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</si>
  <si>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</si>
  <si>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</si>
  <si>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</si>
  <si>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</si>
  <si>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</si>
  <si>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</si>
  <si>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</si>
  <si>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</si>
  <si>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</si>
  <si>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</si>
  <si>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</si>
  <si>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</si>
  <si>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</si>
  <si>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</si>
  <si>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</si>
  <si>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</si>
  <si>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</si>
  <si>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</si>
  <si>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</si>
  <si>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</si>
  <si>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</si>
  <si>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</si>
  <si>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</si>
  <si>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</si>
  <si>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</si>
  <si>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</si>
  <si>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</si>
  <si>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</si>
  <si>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</si>
  <si>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</si>
  <si>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</si>
  <si>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</si>
  <si>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</si>
  <si>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</si>
  <si>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</si>
  <si>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</si>
  <si>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</si>
  <si>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</si>
  <si>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</si>
  <si>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</si>
  <si>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</si>
  <si>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</si>
  <si>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</si>
  <si>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</si>
  <si>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</si>
  <si>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</si>
  <si>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</si>
  <si>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</si>
  <si>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</si>
  <si>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</si>
  <si>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</si>
  <si>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</si>
  <si>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</si>
  <si>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</si>
  <si>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</si>
  <si>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</si>
  <si>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</si>
  <si>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</si>
  <si>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</si>
  <si>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</si>
  <si>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</si>
  <si>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</si>
  <si>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</si>
  <si>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</si>
  <si>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</si>
  <si>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</si>
  <si>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</si>
  <si>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</si>
  <si>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</si>
  <si>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</si>
  <si>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</si>
  <si>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</si>
  <si>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</si>
  <si>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</si>
  <si>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</si>
  <si>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</si>
  <si>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</si>
  <si>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</si>
  <si>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</si>
  <si>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</si>
  <si>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</si>
  <si>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</si>
  <si>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</si>
  <si>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</si>
  <si>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</si>
  <si>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</si>
  <si>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</si>
  <si>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</si>
  <si>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</si>
  <si>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</si>
  <si>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</si>
  <si>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</si>
  <si>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</si>
  <si>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</si>
  <si>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</si>
  <si>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</si>
  <si>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</si>
  <si>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</si>
  <si>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</si>
  <si>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19-4012</t>
  </si>
  <si>
    <t>Agricultural Technicians</t>
  </si>
  <si>
    <t>19-4013</t>
  </si>
  <si>
    <t>Food Science Technicians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</si>
  <si>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</si>
  <si>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</si>
  <si>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</si>
  <si>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</si>
  <si>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</si>
  <si>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</si>
  <si>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</si>
  <si>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Environmental Science and Geoscience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</si>
  <si>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</si>
  <si>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</si>
  <si>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</si>
  <si>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</si>
  <si>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</si>
  <si>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</si>
  <si>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19-4050</t>
  </si>
  <si>
    <t>Nuclear Technicians</t>
  </si>
  <si>
    <t>19-4051</t>
  </si>
  <si>
    <t>19-4060</t>
  </si>
  <si>
    <t>Social Science Research Assistants</t>
  </si>
  <si>
    <t>19-4061</t>
  </si>
  <si>
    <t>19-4070</t>
  </si>
  <si>
    <t>Forest and Conservation Technicians</t>
  </si>
  <si>
    <t>19-4071</t>
  </si>
  <si>
    <t>19-4090</t>
  </si>
  <si>
    <t>Miscellaneous Life, Physical, and Social Science Technicians</t>
  </si>
  <si>
    <t>19-4092</t>
  </si>
  <si>
    <t>Forensic Science Technicians</t>
  </si>
  <si>
    <t>19-4099</t>
  </si>
  <si>
    <t>Life, Physical, and Social Science Technicians, All Other</t>
  </si>
  <si>
    <t>19-5000</t>
  </si>
  <si>
    <t>Occupational Health and Safety Specialists and Technicians</t>
  </si>
  <si>
    <t>19-5010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</si>
  <si>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</si>
  <si>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</si>
  <si>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</si>
  <si>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</si>
  <si>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</si>
  <si>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</si>
  <si>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</si>
  <si>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</si>
  <si>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</si>
  <si>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</si>
  <si>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</si>
  <si>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</si>
  <si>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</si>
  <si>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</si>
  <si>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</si>
  <si>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</si>
  <si>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</si>
  <si>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</si>
  <si>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</si>
  <si>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</si>
  <si>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</si>
  <si>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</si>
  <si>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</si>
  <si>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</si>
  <si>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</si>
  <si>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</si>
  <si>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</si>
  <si>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</si>
  <si>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</si>
  <si>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</si>
  <si>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</si>
  <si>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</si>
  <si>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</si>
  <si>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</si>
  <si>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</si>
  <si>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</si>
  <si>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</si>
  <si>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</si>
  <si>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</si>
  <si>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</si>
  <si>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</si>
  <si>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</si>
  <si>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</si>
  <si>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</si>
  <si>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</si>
  <si>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</si>
  <si>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</si>
  <si>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</si>
  <si>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</si>
  <si>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</si>
  <si>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</si>
  <si>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</si>
  <si>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</si>
  <si>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</si>
  <si>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</si>
  <si>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</si>
  <si>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</si>
  <si>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</si>
  <si>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</si>
  <si>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</si>
  <si>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</si>
  <si>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</si>
  <si>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</si>
  <si>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</si>
  <si>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</si>
  <si>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</si>
  <si>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</si>
  <si>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</si>
  <si>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</si>
  <si>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</si>
  <si>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</si>
  <si>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</si>
  <si>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</si>
  <si>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</si>
  <si>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</si>
  <si>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</si>
  <si>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</si>
  <si>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</si>
  <si>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</si>
  <si>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</si>
  <si>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</si>
  <si>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</si>
  <si>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</si>
  <si>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</si>
  <si>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</si>
  <si>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</si>
  <si>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</si>
  <si>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</si>
  <si>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</si>
  <si>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</si>
  <si>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</si>
  <si>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</si>
  <si>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</si>
  <si>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Science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</si>
  <si>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</si>
  <si>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</si>
  <si>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</si>
  <si>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</si>
  <si>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</si>
  <si>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</si>
  <si>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</si>
  <si>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</si>
  <si>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</si>
  <si>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</si>
  <si>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</si>
  <si>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</si>
  <si>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</si>
  <si>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</si>
  <si>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</si>
  <si>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</si>
  <si>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</si>
  <si>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</si>
  <si>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</si>
  <si>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</si>
  <si>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</si>
  <si>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</si>
  <si>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</si>
  <si>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</si>
  <si>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</si>
  <si>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</si>
  <si>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</si>
  <si>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</si>
  <si>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</si>
  <si>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</si>
  <si>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</si>
  <si>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</si>
  <si>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</si>
  <si>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</si>
  <si>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</si>
  <si>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</si>
  <si>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</si>
  <si>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</si>
  <si>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</si>
  <si>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</si>
  <si>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</si>
  <si>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</si>
  <si>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</si>
  <si>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</si>
  <si>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</si>
  <si>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</si>
  <si>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</si>
  <si>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</si>
  <si>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</si>
  <si>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</si>
  <si>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</si>
  <si>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</si>
  <si>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</si>
  <si>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</si>
  <si>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</si>
  <si>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</si>
  <si>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</si>
  <si>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</si>
  <si>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</si>
  <si>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</si>
  <si>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</si>
  <si>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</si>
  <si>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</si>
  <si>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</si>
  <si>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</si>
  <si>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</si>
  <si>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</si>
  <si>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History,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</si>
  <si>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</si>
  <si>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</si>
  <si>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</si>
  <si>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</si>
  <si>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</si>
  <si>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</si>
  <si>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</si>
  <si>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</si>
  <si>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</si>
  <si>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</si>
  <si>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</si>
  <si>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</si>
  <si>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</si>
  <si>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</si>
  <si>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</si>
  <si>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</si>
  <si>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</si>
  <si>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</si>
  <si>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</si>
  <si>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</si>
  <si>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</si>
  <si>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</si>
  <si>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25-2000</t>
  </si>
  <si>
    <t>Preschool, Elementary, Middle, Secondary, and Special Education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</si>
  <si>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</si>
  <si>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</si>
  <si>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</si>
  <si>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</si>
  <si>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</si>
  <si>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</si>
  <si>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</si>
  <si>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</si>
  <si>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</si>
  <si>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</si>
  <si>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</si>
  <si>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</si>
  <si>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</si>
  <si>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</si>
  <si>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</si>
  <si>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</si>
  <si>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</si>
  <si>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</si>
  <si>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</si>
  <si>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</si>
  <si>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</si>
  <si>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</si>
  <si>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</si>
  <si>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</si>
  <si>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</si>
  <si>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</si>
  <si>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</si>
  <si>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</si>
  <si>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</si>
  <si>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25-2058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</si>
  <si>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</si>
  <si>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</si>
  <si>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</si>
  <si>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</si>
  <si>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</si>
  <si>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</si>
  <si>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Education, Adult Secondary Education, and English as a Second Language Instructors</t>
  </si>
  <si>
    <t>25-3011</t>
  </si>
  <si>
    <t>25-3020</t>
  </si>
  <si>
    <t>Self-Enrichment Teachers</t>
  </si>
  <si>
    <t>25-3021</t>
  </si>
  <si>
    <t>25-3030</t>
  </si>
  <si>
    <t>Substitute Teachers, Short-Term</t>
  </si>
  <si>
    <t>25-3031</t>
  </si>
  <si>
    <t>25-3040</t>
  </si>
  <si>
    <t>Tutors</t>
  </si>
  <si>
    <t>25-3041</t>
  </si>
  <si>
    <t>25-3090</t>
  </si>
  <si>
    <t>Miscellaneous Teachers and Instructors</t>
  </si>
  <si>
    <t>25-3099</t>
  </si>
  <si>
    <t>Teachers and Instructors, All Other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</si>
  <si>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</si>
  <si>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</si>
  <si>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</si>
  <si>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</si>
  <si>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</si>
  <si>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</si>
  <si>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</si>
  <si>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</si>
  <si>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</si>
  <si>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</si>
  <si>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</si>
  <si>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 and Media Collections Specialists</t>
  </si>
  <si>
    <t>25-4022</t>
  </si>
  <si>
    <t>25-4030</t>
  </si>
  <si>
    <t>Library Technicians</t>
  </si>
  <si>
    <t>25-4031</t>
  </si>
  <si>
    <t>25-9000</t>
  </si>
  <si>
    <t>Other Educational Instruction and Library Occupations</t>
  </si>
  <si>
    <t>25-9020</t>
  </si>
  <si>
    <t>Farm and Home Management Educators</t>
  </si>
  <si>
    <t>25-9021</t>
  </si>
  <si>
    <t>25-9030</t>
  </si>
  <si>
    <t>Instructional Coordinators</t>
  </si>
  <si>
    <t>25-9031</t>
  </si>
  <si>
    <t>25-9040</t>
  </si>
  <si>
    <t>Teaching Assistants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</si>
  <si>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</si>
  <si>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</si>
  <si>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</si>
  <si>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</si>
  <si>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</si>
  <si>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</si>
  <si>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</si>
  <si>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</si>
  <si>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25-9090</t>
  </si>
  <si>
    <t>Miscellaneous Educational Instruction and Library Workers</t>
  </si>
  <si>
    <t>25-9099</t>
  </si>
  <si>
    <t>Educational Instruction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</si>
  <si>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</si>
  <si>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</si>
  <si>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</si>
  <si>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</si>
  <si>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</si>
  <si>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</si>
  <si>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</si>
  <si>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</si>
  <si>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</si>
  <si>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</si>
  <si>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</si>
  <si>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</si>
  <si>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</si>
  <si>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</si>
  <si>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</si>
  <si>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</si>
  <si>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</si>
  <si>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</si>
  <si>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</si>
  <si>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</si>
  <si>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</si>
  <si>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</si>
  <si>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</si>
  <si>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</si>
  <si>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</si>
  <si>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</si>
  <si>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</si>
  <si>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</si>
  <si>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</si>
  <si>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</si>
  <si>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</si>
  <si>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</si>
  <si>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</si>
  <si>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</si>
  <si>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</si>
  <si>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</si>
  <si>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</si>
  <si>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</si>
  <si>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</si>
  <si>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</si>
  <si>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</si>
  <si>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</si>
  <si>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</si>
  <si>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</si>
  <si>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</si>
  <si>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</si>
  <si>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</si>
  <si>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</si>
  <si>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</si>
  <si>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</si>
  <si>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</si>
  <si>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</si>
  <si>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</si>
  <si>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</si>
  <si>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</si>
  <si>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</si>
  <si>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</si>
  <si>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</si>
  <si>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</si>
  <si>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</si>
  <si>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</si>
  <si>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</si>
  <si>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</si>
  <si>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</si>
  <si>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27-2091</t>
  </si>
  <si>
    <t>Disc Jockeys, Except Radio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</si>
  <si>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</si>
  <si>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</si>
  <si>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</si>
  <si>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</si>
  <si>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</si>
  <si>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Broadcast Announcers and Radio Disc Jockeys</t>
  </si>
  <si>
    <t>27-3011</t>
  </si>
  <si>
    <t>27-3020</t>
  </si>
  <si>
    <t>News Analysts, Reporters and Journalists</t>
  </si>
  <si>
    <t>27-3023</t>
  </si>
  <si>
    <t>News Analysts, Reporters, and Journalists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</si>
  <si>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</si>
  <si>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</si>
  <si>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</si>
  <si>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</si>
  <si>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</si>
  <si>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</si>
  <si>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</si>
  <si>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</si>
  <si>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</si>
  <si>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</si>
  <si>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</si>
  <si>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</si>
  <si>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</si>
  <si>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</si>
  <si>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</si>
  <si>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</si>
  <si>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</si>
  <si>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</si>
  <si>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</si>
  <si>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27-4000</t>
  </si>
  <si>
    <t>Media and Communication Equipment Workers</t>
  </si>
  <si>
    <t>27-4010</t>
  </si>
  <si>
    <t>Broadcast, Sound, and Lighting Technicians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</si>
  <si>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</si>
  <si>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</si>
  <si>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</si>
  <si>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</si>
  <si>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</si>
  <si>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</si>
  <si>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</si>
  <si>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</si>
  <si>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27-4020</t>
  </si>
  <si>
    <t>Photographers</t>
  </si>
  <si>
    <t>27-4021</t>
  </si>
  <si>
    <t>27-4030</t>
  </si>
  <si>
    <t>Television, Video, and Film Camera Operators and Editors</t>
  </si>
  <si>
    <t>27-4031</t>
  </si>
  <si>
    <t>Camera Operators, Television, Video, and Film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</si>
  <si>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</si>
  <si>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</si>
  <si>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</si>
  <si>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</si>
  <si>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</si>
  <si>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</si>
  <si>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</si>
  <si>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</si>
  <si>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</si>
  <si>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Healthcare Diagnosing or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</si>
  <si>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</si>
  <si>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</si>
  <si>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</si>
  <si>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</si>
  <si>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</si>
  <si>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</si>
  <si>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</si>
  <si>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</si>
  <si>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</si>
  <si>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</si>
  <si>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</si>
  <si>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</si>
  <si>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</si>
  <si>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</si>
  <si>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</si>
  <si>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</si>
  <si>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</si>
  <si>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</si>
  <si>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</si>
  <si>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</si>
  <si>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</si>
  <si>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</si>
  <si>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</si>
  <si>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</si>
  <si>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</si>
  <si>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</si>
  <si>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</si>
  <si>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</si>
  <si>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</si>
  <si>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</si>
  <si>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</si>
  <si>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</si>
  <si>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</si>
  <si>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</si>
  <si>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</si>
  <si>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</si>
  <si>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</si>
  <si>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</si>
  <si>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</si>
  <si>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</si>
  <si>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</si>
  <si>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</si>
  <si>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</si>
  <si>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</si>
  <si>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</si>
  <si>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</si>
  <si>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</si>
  <si>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</si>
  <si>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</si>
  <si>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</si>
  <si>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</si>
  <si>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</si>
  <si>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</si>
  <si>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</si>
  <si>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</si>
  <si>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</si>
  <si>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</si>
  <si>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</si>
  <si>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</si>
  <si>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</si>
  <si>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</si>
  <si>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</si>
  <si>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</si>
  <si>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</si>
  <si>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</si>
  <si>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</si>
  <si>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29-1210</t>
  </si>
  <si>
    <t>Physicians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</si>
  <si>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</si>
  <si>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</si>
  <si>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</si>
  <si>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</si>
  <si>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</si>
  <si>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</si>
  <si>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</si>
  <si>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</si>
  <si>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</si>
  <si>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</si>
  <si>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</si>
  <si>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</si>
  <si>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</si>
  <si>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</si>
  <si>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</si>
  <si>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</si>
  <si>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</si>
  <si>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</si>
  <si>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</si>
  <si>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</si>
  <si>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</si>
  <si>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</si>
  <si>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</si>
  <si>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</si>
  <si>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</si>
  <si>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</si>
  <si>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29-1240</t>
  </si>
  <si>
    <t>Surgeons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</si>
  <si>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</si>
  <si>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</si>
  <si>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</si>
  <si>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</si>
  <si>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</si>
  <si>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</si>
  <si>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</si>
  <si>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</si>
  <si>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29-1290</t>
  </si>
  <si>
    <t>Miscellaneous Healthcare Diagnosing or Treating Practitioners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</si>
  <si>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</si>
  <si>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</si>
  <si>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</si>
  <si>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</si>
  <si>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</si>
  <si>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</si>
  <si>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</si>
  <si>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</si>
  <si>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</si>
  <si>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</si>
  <si>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</si>
  <si>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</si>
  <si>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</si>
  <si>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</si>
  <si>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</si>
  <si>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</si>
  <si>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</si>
  <si>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</si>
  <si>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</si>
  <si>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</si>
  <si>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</si>
  <si>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</si>
  <si>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</si>
  <si>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</si>
  <si>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</si>
  <si>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</si>
  <si>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</si>
  <si>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</si>
  <si>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29-2040</t>
  </si>
  <si>
    <t>Emergency Medical Technicians and Paramedics</t>
  </si>
  <si>
    <t>29-2042</t>
  </si>
  <si>
    <t>Emergency Medical Technicians</t>
  </si>
  <si>
    <t>29-2043</t>
  </si>
  <si>
    <t>Paramedics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</si>
  <si>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</si>
  <si>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</si>
  <si>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</si>
  <si>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</si>
  <si>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</si>
  <si>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</si>
  <si>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</si>
  <si>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</si>
  <si>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</si>
  <si>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</si>
  <si>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</si>
  <si>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</si>
  <si>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</si>
  <si>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</si>
  <si>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</si>
  <si>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</si>
  <si>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</si>
  <si>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</si>
  <si>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Specialists</t>
  </si>
  <si>
    <t>29-2072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</si>
  <si>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</si>
  <si>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</si>
  <si>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</si>
  <si>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</si>
  <si>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</si>
  <si>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</si>
  <si>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</si>
  <si>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</si>
  <si>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</si>
  <si>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</si>
  <si>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</si>
  <si>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</si>
  <si>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</si>
  <si>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29-9020</t>
  </si>
  <si>
    <t>Health Information Technologists and Medical Registrars</t>
  </si>
  <si>
    <t>29-9021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</si>
  <si>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</si>
  <si>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</si>
  <si>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</si>
  <si>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</si>
  <si>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</si>
  <si>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</si>
  <si>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</si>
  <si>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</si>
  <si>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</si>
  <si>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</si>
  <si>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</si>
  <si>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</si>
  <si>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31-1100</t>
  </si>
  <si>
    <t>Home Health and Personal Care Aides; and Nursing Assistants, Orderlies, and Psychiatric Aides</t>
  </si>
  <si>
    <t>31-1120</t>
  </si>
  <si>
    <t>Home Health and Personal Care Aides</t>
  </si>
  <si>
    <t>31-1121</t>
  </si>
  <si>
    <t>Home Health Aides</t>
  </si>
  <si>
    <t>31-1122</t>
  </si>
  <si>
    <t>Personal Care Aides</t>
  </si>
  <si>
    <t>31-1130</t>
  </si>
  <si>
    <t>Nursing Assistants, Orderlies, and Psychiatric Aides</t>
  </si>
  <si>
    <t>31-1131</t>
  </si>
  <si>
    <t>Nursing Assistants</t>
  </si>
  <si>
    <t>31-1132</t>
  </si>
  <si>
    <t>Orderlies</t>
  </si>
  <si>
    <t>31-1133</t>
  </si>
  <si>
    <t>Psychiatric Aides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</si>
  <si>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</si>
  <si>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</si>
  <si>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</si>
  <si>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</si>
  <si>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</si>
  <si>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</si>
  <si>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</si>
  <si>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</si>
  <si>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</si>
  <si>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</si>
  <si>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</si>
  <si>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</si>
  <si>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</si>
  <si>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</si>
  <si>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</si>
  <si>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</si>
  <si>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</si>
  <si>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</si>
  <si>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</si>
  <si>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</si>
  <si>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</si>
  <si>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</si>
  <si>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</si>
  <si>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</si>
  <si>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</si>
  <si>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</si>
  <si>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</si>
  <si>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</si>
  <si>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</si>
  <si>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</si>
  <si>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</si>
  <si>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</si>
  <si>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</si>
  <si>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</si>
  <si>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</si>
  <si>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</si>
  <si>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</si>
  <si>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</si>
  <si>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</si>
  <si>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</si>
  <si>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</si>
  <si>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</si>
  <si>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</si>
  <si>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</si>
  <si>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</si>
  <si>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</si>
  <si>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</si>
  <si>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</si>
  <si>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Firefighting and Prevention Workers</t>
  </si>
  <si>
    <t>33-1021</t>
  </si>
  <si>
    <t>33-1090</t>
  </si>
  <si>
    <t>Miscellaneous First-Line Supervisors, Protective Service Workers</t>
  </si>
  <si>
    <t>33-1091</t>
  </si>
  <si>
    <t>First-Line Supervisors of Security Workers</t>
  </si>
  <si>
    <t>33-1099</t>
  </si>
  <si>
    <t>First-Line Supervisors of Protective Service Workers, All Other</t>
  </si>
  <si>
    <t>33-2000</t>
  </si>
  <si>
    <t>Firefighting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</si>
  <si>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</si>
  <si>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</si>
  <si>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</si>
  <si>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</si>
  <si>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</si>
  <si>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</si>
  <si>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</si>
  <si>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</si>
  <si>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</si>
  <si>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</si>
  <si>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</si>
  <si>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</si>
  <si>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</si>
  <si>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</si>
  <si>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</si>
  <si>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</si>
  <si>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</si>
  <si>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</si>
  <si>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</si>
  <si>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</si>
  <si>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</si>
  <si>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</si>
  <si>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</si>
  <si>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</si>
  <si>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</si>
  <si>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</si>
  <si>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</si>
  <si>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</si>
  <si>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</si>
  <si>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Sheriff’s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</si>
  <si>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</si>
  <si>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</si>
  <si>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</si>
  <si>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</si>
  <si>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</si>
  <si>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</si>
  <si>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</si>
  <si>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</si>
  <si>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</si>
  <si>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</si>
  <si>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</si>
  <si>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Gambling Surveillance Officers</t>
  </si>
  <si>
    <t>33-9031</t>
  </si>
  <si>
    <t>Gambling Surveillance Officers and Gambling Investigators</t>
  </si>
  <si>
    <t>33-9032</t>
  </si>
  <si>
    <t>Security Guards</t>
  </si>
  <si>
    <t>33-9090</t>
  </si>
  <si>
    <t>Miscellaneous Protective Service Workers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</si>
  <si>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</si>
  <si>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</si>
  <si>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</si>
  <si>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</si>
  <si>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</si>
  <si>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</si>
  <si>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</si>
  <si>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</si>
  <si>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</si>
  <si>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</si>
  <si>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</si>
  <si>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</si>
  <si>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</si>
  <si>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</si>
  <si>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</si>
  <si>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</si>
  <si>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</si>
  <si>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</si>
  <si>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</si>
  <si>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</si>
  <si>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</si>
  <si>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</si>
  <si>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</si>
  <si>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</si>
  <si>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</si>
  <si>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</si>
  <si>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</si>
  <si>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</si>
  <si>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</si>
  <si>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</si>
  <si>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</si>
  <si>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</si>
  <si>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</si>
  <si>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</si>
  <si>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</si>
  <si>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</si>
  <si>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</si>
  <si>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</si>
  <si>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</si>
  <si>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</si>
  <si>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</si>
  <si>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</si>
  <si>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</si>
  <si>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</si>
  <si>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</si>
  <si>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35-3023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</si>
  <si>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</si>
  <si>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</si>
  <si>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</si>
  <si>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</si>
  <si>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</si>
  <si>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</si>
  <si>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</si>
  <si>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</si>
  <si>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</si>
  <si>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</si>
  <si>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</si>
  <si>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</si>
  <si>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</si>
  <si>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</si>
  <si>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</si>
  <si>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</si>
  <si>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</si>
  <si>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</si>
  <si>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</si>
  <si>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</si>
  <si>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</si>
  <si>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</si>
  <si>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</si>
  <si>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</si>
  <si>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</si>
  <si>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</si>
  <si>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</si>
  <si>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</si>
  <si>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</si>
  <si>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</si>
  <si>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</si>
  <si>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</si>
  <si>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</si>
  <si>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</si>
  <si>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</si>
  <si>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</si>
  <si>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</si>
  <si>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</si>
  <si>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</si>
  <si>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</si>
  <si>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</si>
  <si>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</si>
  <si>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</si>
  <si>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</si>
  <si>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</si>
  <si>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</si>
  <si>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</si>
  <si>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</si>
  <si>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</si>
  <si>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</si>
  <si>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</si>
  <si>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</si>
  <si>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</si>
  <si>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</si>
  <si>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</si>
  <si>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</si>
  <si>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</si>
  <si>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</si>
  <si>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</si>
  <si>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</si>
  <si>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Entertainment and Recreation Workers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</si>
  <si>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</si>
  <si>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</si>
  <si>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</si>
  <si>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</si>
  <si>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39-1020</t>
  </si>
  <si>
    <t>First-Line Supervisors of Personal Service Workers</t>
  </si>
  <si>
    <t>39-1022</t>
  </si>
  <si>
    <t>39-2000</t>
  </si>
  <si>
    <t>Animal Care and Service Workers</t>
  </si>
  <si>
    <t>39-2010</t>
  </si>
  <si>
    <t>Animal Trainers</t>
  </si>
  <si>
    <t>39-2011</t>
  </si>
  <si>
    <t>39-2020</t>
  </si>
  <si>
    <t>Animal Caretakers</t>
  </si>
  <si>
    <t>39-2021</t>
  </si>
  <si>
    <t>39-3000</t>
  </si>
  <si>
    <t>Entertainment Attendants and Related Workers</t>
  </si>
  <si>
    <t>39-3010</t>
  </si>
  <si>
    <t>Gambling Services Workers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</si>
  <si>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</si>
  <si>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</si>
  <si>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</si>
  <si>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</si>
  <si>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</si>
  <si>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</si>
  <si>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</si>
  <si>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</si>
  <si>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</si>
  <si>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</si>
  <si>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</si>
  <si>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</si>
  <si>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</si>
  <si>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</si>
  <si>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</si>
  <si>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</si>
  <si>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</si>
  <si>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</si>
  <si>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</si>
  <si>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</si>
  <si>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</si>
  <si>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</si>
  <si>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</si>
  <si>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</si>
  <si>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</si>
  <si>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 and Crematory Operators</t>
  </si>
  <si>
    <t>39-4011</t>
  </si>
  <si>
    <t>Embalmers</t>
  </si>
  <si>
    <t>39-4012</t>
  </si>
  <si>
    <t>Crematory Operators</t>
  </si>
  <si>
    <t>39-4020</t>
  </si>
  <si>
    <t>Funeral Attendants</t>
  </si>
  <si>
    <t>39-4021</t>
  </si>
  <si>
    <t>39-4030</t>
  </si>
  <si>
    <t>Morticians, Undertakers, and Funeral Arrangers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</si>
  <si>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</si>
  <si>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</si>
  <si>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</si>
  <si>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</si>
  <si>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</si>
  <si>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</si>
  <si>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</si>
  <si>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</si>
  <si>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</si>
  <si>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</si>
  <si>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</si>
  <si>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</si>
  <si>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</si>
  <si>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</si>
  <si>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</si>
  <si>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</si>
  <si>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</si>
  <si>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</si>
  <si>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</si>
  <si>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</si>
  <si>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</si>
  <si>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</si>
  <si>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</si>
  <si>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</si>
  <si>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</si>
  <si>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</si>
  <si>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</si>
  <si>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</si>
  <si>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</si>
  <si>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</si>
  <si>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</si>
  <si>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</si>
  <si>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</si>
  <si>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</si>
  <si>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</si>
  <si>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</si>
  <si>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</si>
  <si>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</si>
  <si>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39-9030</t>
  </si>
  <si>
    <t>Recreation and Fitness Workers</t>
  </si>
  <si>
    <t>39-9031</t>
  </si>
  <si>
    <t>Exercise Trainers and Group Fitness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</si>
  <si>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</si>
  <si>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</si>
  <si>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</si>
  <si>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</si>
  <si>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</si>
  <si>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</si>
  <si>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</si>
  <si>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</si>
  <si>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</si>
  <si>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</si>
  <si>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</si>
  <si>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</si>
  <si>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</si>
  <si>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</si>
  <si>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</si>
  <si>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</si>
  <si>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</si>
  <si>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</si>
  <si>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</si>
  <si>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</si>
  <si>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</si>
  <si>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</si>
  <si>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</si>
  <si>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</si>
  <si>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</si>
  <si>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Gambling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</si>
  <si>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</si>
  <si>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</si>
  <si>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</si>
  <si>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</si>
  <si>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</si>
  <si>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</si>
  <si>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</si>
  <si>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</si>
  <si>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</si>
  <si>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</si>
  <si>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</si>
  <si>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</si>
  <si>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</si>
  <si>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</si>
  <si>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</si>
  <si>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</si>
  <si>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</si>
  <si>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</si>
  <si>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</si>
  <si>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</si>
  <si>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</si>
  <si>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</si>
  <si>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</si>
  <si>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</si>
  <si>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</si>
  <si>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41-3091</t>
  </si>
  <si>
    <t>Sales Representatives of Services, Except Advertising, Insurance, Financial Services, and Travel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</si>
  <si>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</si>
  <si>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</si>
  <si>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</si>
  <si>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</si>
  <si>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</si>
  <si>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</si>
  <si>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</si>
  <si>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</si>
  <si>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</si>
  <si>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</si>
  <si>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</si>
  <si>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</si>
  <si>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</si>
  <si>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</si>
  <si>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</si>
  <si>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</si>
  <si>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</si>
  <si>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</si>
  <si>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</si>
  <si>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</si>
  <si>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</si>
  <si>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</si>
  <si>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</si>
  <si>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</si>
  <si>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</si>
  <si>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</si>
  <si>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</si>
  <si>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</si>
  <si>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</si>
  <si>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</si>
  <si>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</si>
  <si>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</si>
  <si>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</si>
  <si>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</si>
  <si>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</si>
  <si>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</si>
  <si>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</si>
  <si>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</si>
  <si>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</si>
  <si>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</si>
  <si>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</si>
  <si>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</si>
  <si>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</si>
  <si>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</si>
  <si>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</si>
  <si>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</si>
  <si>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</si>
  <si>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</si>
  <si>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</si>
  <si>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</si>
  <si>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</si>
  <si>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</si>
  <si>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</si>
  <si>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</si>
  <si>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</si>
  <si>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</si>
  <si>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</si>
  <si>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</si>
  <si>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</si>
  <si>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</si>
  <si>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</si>
  <si>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</si>
  <si>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</si>
  <si>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</si>
  <si>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Gambling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</si>
  <si>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</si>
  <si>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</si>
  <si>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</si>
  <si>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</si>
  <si>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</si>
  <si>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</si>
  <si>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</si>
  <si>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</si>
  <si>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</si>
  <si>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</si>
  <si>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</si>
  <si>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</si>
  <si>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</si>
  <si>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</si>
  <si>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</si>
  <si>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</si>
  <si>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</si>
  <si>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</si>
  <si>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</si>
  <si>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</si>
  <si>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</si>
  <si>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</si>
  <si>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</si>
  <si>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</si>
  <si>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</si>
  <si>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</si>
  <si>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</si>
  <si>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</si>
  <si>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</si>
  <si>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</si>
  <si>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</si>
  <si>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</si>
  <si>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</si>
  <si>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</si>
  <si>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</si>
  <si>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</si>
  <si>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</si>
  <si>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</si>
  <si>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</si>
  <si>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</si>
  <si>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</si>
  <si>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</si>
  <si>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</si>
  <si>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</si>
  <si>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</si>
  <si>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</si>
  <si>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</si>
  <si>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</si>
  <si>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</si>
  <si>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</si>
  <si>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</si>
  <si>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</si>
  <si>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</si>
  <si>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</si>
  <si>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</si>
  <si>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</si>
  <si>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</si>
  <si>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</si>
  <si>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</si>
  <si>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</si>
  <si>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</si>
  <si>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</si>
  <si>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</si>
  <si>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</si>
  <si>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</si>
  <si>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</si>
  <si>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</si>
  <si>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</si>
  <si>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</si>
  <si>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</si>
  <si>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</si>
  <si>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</si>
  <si>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</si>
  <si>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</si>
  <si>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</si>
  <si>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</si>
  <si>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</si>
  <si>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</si>
  <si>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</si>
  <si>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</si>
  <si>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</si>
  <si>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</si>
  <si>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</si>
  <si>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</si>
  <si>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</si>
  <si>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</si>
  <si>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</si>
  <si>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</si>
  <si>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</si>
  <si>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</si>
  <si>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</si>
  <si>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</si>
  <si>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</si>
  <si>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</si>
  <si>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</si>
  <si>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</si>
  <si>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Inventory Clerks</t>
  </si>
  <si>
    <t>43-5071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</si>
  <si>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</si>
  <si>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</si>
  <si>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</si>
  <si>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</si>
  <si>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</si>
  <si>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</si>
  <si>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</si>
  <si>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</si>
  <si>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</si>
  <si>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</si>
  <si>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</si>
  <si>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</si>
  <si>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</si>
  <si>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</si>
  <si>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</si>
  <si>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</si>
  <si>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</si>
  <si>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</si>
  <si>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</si>
  <si>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</si>
  <si>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</si>
  <si>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</si>
  <si>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</si>
  <si>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</si>
  <si>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</si>
  <si>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</si>
  <si>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</si>
  <si>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</si>
  <si>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</si>
  <si>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</si>
  <si>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</si>
  <si>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</si>
  <si>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</si>
  <si>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</si>
  <si>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</si>
  <si>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</si>
  <si>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</si>
  <si>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</si>
  <si>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</si>
  <si>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</si>
  <si>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</si>
  <si>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</si>
  <si>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</si>
  <si>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</si>
  <si>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</si>
  <si>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</si>
  <si>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</si>
  <si>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</si>
  <si>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</si>
  <si>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</si>
  <si>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</si>
  <si>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</si>
  <si>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</si>
  <si>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</si>
  <si>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</si>
  <si>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</si>
  <si>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</si>
  <si>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</si>
  <si>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</si>
  <si>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</si>
  <si>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</si>
  <si>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</si>
  <si>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</si>
  <si>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</si>
  <si>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</si>
  <si>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</si>
  <si>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</si>
  <si>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</si>
  <si>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</si>
  <si>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</si>
  <si>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</si>
  <si>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</si>
  <si>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</si>
  <si>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</si>
  <si>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</si>
  <si>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</si>
  <si>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</si>
  <si>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45-3030</t>
  </si>
  <si>
    <t>45-3031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</si>
  <si>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</si>
  <si>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</si>
  <si>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</si>
  <si>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</si>
  <si>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</si>
  <si>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</si>
  <si>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</si>
  <si>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</si>
  <si>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</si>
  <si>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</si>
  <si>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</si>
  <si>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</si>
  <si>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</si>
  <si>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</si>
  <si>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</si>
  <si>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</si>
  <si>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</si>
  <si>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</si>
  <si>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</si>
  <si>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</si>
  <si>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</si>
  <si>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</si>
  <si>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</si>
  <si>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</si>
  <si>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</si>
  <si>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</si>
  <si>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</si>
  <si>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</si>
  <si>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</si>
  <si>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</si>
  <si>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</si>
  <si>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</si>
  <si>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</si>
  <si>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</si>
  <si>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</si>
  <si>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</si>
  <si>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</si>
  <si>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</si>
  <si>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</si>
  <si>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</si>
  <si>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</si>
  <si>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</si>
  <si>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</si>
  <si>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</si>
  <si>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</si>
  <si>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</si>
  <si>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</si>
  <si>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</si>
  <si>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</si>
  <si>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</si>
  <si>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</si>
  <si>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</si>
  <si>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</si>
  <si>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</si>
  <si>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</si>
  <si>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</si>
  <si>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</si>
  <si>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</si>
  <si>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</si>
  <si>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</si>
  <si>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</si>
  <si>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</si>
  <si>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</si>
  <si>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</si>
  <si>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</si>
  <si>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</si>
  <si>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</si>
  <si>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</si>
  <si>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</si>
  <si>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</si>
  <si>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</si>
  <si>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</si>
  <si>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</si>
  <si>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</si>
  <si>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</si>
  <si>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</si>
  <si>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</si>
  <si>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</si>
  <si>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</si>
  <si>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</si>
  <si>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</si>
  <si>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</si>
  <si>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</si>
  <si>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</si>
  <si>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</si>
  <si>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</si>
  <si>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</si>
  <si>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</si>
  <si>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</si>
  <si>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</si>
  <si>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</si>
  <si>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</si>
  <si>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</si>
  <si>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</si>
  <si>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</si>
  <si>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</si>
  <si>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</si>
  <si>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</si>
  <si>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</si>
  <si>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</si>
  <si>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</si>
  <si>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</si>
  <si>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</si>
  <si>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</si>
  <si>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</si>
  <si>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</si>
  <si>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</si>
  <si>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</si>
  <si>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</si>
  <si>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</si>
  <si>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</si>
  <si>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</si>
  <si>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</si>
  <si>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</si>
  <si>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</si>
  <si>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</si>
  <si>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</si>
  <si>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</si>
  <si>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</si>
  <si>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</si>
  <si>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</si>
  <si>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</si>
  <si>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</si>
  <si>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</si>
  <si>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</si>
  <si>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</si>
  <si>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</si>
  <si>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</si>
  <si>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</si>
  <si>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</si>
  <si>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</si>
  <si>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</si>
  <si>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</si>
  <si>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</si>
  <si>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and Escalator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</si>
  <si>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</si>
  <si>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</si>
  <si>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</si>
  <si>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</si>
  <si>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</si>
  <si>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</si>
  <si>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</si>
  <si>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</si>
  <si>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</si>
  <si>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</si>
  <si>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</si>
  <si>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</si>
  <si>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</si>
  <si>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</si>
  <si>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</si>
  <si>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</si>
  <si>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</si>
  <si>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</si>
  <si>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</si>
  <si>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</si>
  <si>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</si>
  <si>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</si>
  <si>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</si>
  <si>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</si>
  <si>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</si>
  <si>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Derrick, Rotary Drill, and Service Unit Operators, Oil and Gas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</si>
  <si>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</si>
  <si>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</si>
  <si>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</si>
  <si>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</si>
  <si>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</si>
  <si>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</si>
  <si>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47-5020</t>
  </si>
  <si>
    <t>Surface Mining Machine Operators and Earth Drillers</t>
  </si>
  <si>
    <t>47-5022</t>
  </si>
  <si>
    <t>Excavating and Loading Machine and Dragline Operators, Surface Mining</t>
  </si>
  <si>
    <t>47-5023</t>
  </si>
  <si>
    <t>Earth Drillers, Except Oil and Gas</t>
  </si>
  <si>
    <t>47-5030</t>
  </si>
  <si>
    <t>Explosives Workers, Ordnance Handling Experts, and Blasters</t>
  </si>
  <si>
    <t>47-5032</t>
  </si>
  <si>
    <t>47-5040</t>
  </si>
  <si>
    <t>Underground Mining Machine Operators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</si>
  <si>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</si>
  <si>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</si>
  <si>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</si>
  <si>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</si>
  <si>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</si>
  <si>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</si>
  <si>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</si>
  <si>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</si>
  <si>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47-5050</t>
  </si>
  <si>
    <t>Rock Splitters, Quarry</t>
  </si>
  <si>
    <t>47-5051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</si>
  <si>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</si>
  <si>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</si>
  <si>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</si>
  <si>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</si>
  <si>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</si>
  <si>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</si>
  <si>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</si>
  <si>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</si>
  <si>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</si>
  <si>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</si>
  <si>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</si>
  <si>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</si>
  <si>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</si>
  <si>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</si>
  <si>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</si>
  <si>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</si>
  <si>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</si>
  <si>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</si>
  <si>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</si>
  <si>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</si>
  <si>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</si>
  <si>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</si>
  <si>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</si>
  <si>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</si>
  <si>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</si>
  <si>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</si>
  <si>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</si>
  <si>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</si>
  <si>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</si>
  <si>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</si>
  <si>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</si>
  <si>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</si>
  <si>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</si>
  <si>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</si>
  <si>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</si>
  <si>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</si>
  <si>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</si>
  <si>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</si>
  <si>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</si>
  <si>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</si>
  <si>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</si>
  <si>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</si>
  <si>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</si>
  <si>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</si>
  <si>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</si>
  <si>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</si>
  <si>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</si>
  <si>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</si>
  <si>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</si>
  <si>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</si>
  <si>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</si>
  <si>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</si>
  <si>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</si>
  <si>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</si>
  <si>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</si>
  <si>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</si>
  <si>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</si>
  <si>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</si>
  <si>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</si>
  <si>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</si>
  <si>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</si>
  <si>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</si>
  <si>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</si>
  <si>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</si>
  <si>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</si>
  <si>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</si>
  <si>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</si>
  <si>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</si>
  <si>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</si>
  <si>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</si>
  <si>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</si>
  <si>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</si>
  <si>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</si>
  <si>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</si>
  <si>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</si>
  <si>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</si>
  <si>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</si>
  <si>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</si>
  <si>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</si>
  <si>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</si>
  <si>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</si>
  <si>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</si>
  <si>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</si>
  <si>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</si>
  <si>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</si>
  <si>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</si>
  <si>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</si>
  <si>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</si>
  <si>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</si>
  <si>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</si>
  <si>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</si>
  <si>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</si>
  <si>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</si>
  <si>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</si>
  <si>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</si>
  <si>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</si>
  <si>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</si>
  <si>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</si>
  <si>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</si>
  <si>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</si>
  <si>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</si>
  <si>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</si>
  <si>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</si>
  <si>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</si>
  <si>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</si>
  <si>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</si>
  <si>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</si>
  <si>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</si>
  <si>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</si>
  <si>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</si>
  <si>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</si>
  <si>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</si>
  <si>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</si>
  <si>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</si>
  <si>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</si>
  <si>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</si>
  <si>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</si>
  <si>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</si>
  <si>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</si>
  <si>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</si>
  <si>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</si>
  <si>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</si>
  <si>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</si>
  <si>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</si>
  <si>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</si>
  <si>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</si>
  <si>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</si>
  <si>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</si>
  <si>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</si>
  <si>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</si>
  <si>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</si>
  <si>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</si>
  <si>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</si>
  <si>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</si>
  <si>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</si>
  <si>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</si>
  <si>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</si>
  <si>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</si>
  <si>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</si>
  <si>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</si>
  <si>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</si>
  <si>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</si>
  <si>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</si>
  <si>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</si>
  <si>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</si>
  <si>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</si>
  <si>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</si>
  <si>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</si>
  <si>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</si>
  <si>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</si>
  <si>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</si>
  <si>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</si>
  <si>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</si>
  <si>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</si>
  <si>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</si>
  <si>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</si>
  <si>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</si>
  <si>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</si>
  <si>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</si>
  <si>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</si>
  <si>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</si>
  <si>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</si>
  <si>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</si>
  <si>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</si>
  <si>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</si>
  <si>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</si>
  <si>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</si>
  <si>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</si>
  <si>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</si>
  <si>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</si>
  <si>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</si>
  <si>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</si>
  <si>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</si>
  <si>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</si>
  <si>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</si>
  <si>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</si>
  <si>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</si>
  <si>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</si>
  <si>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51-2050</t>
  </si>
  <si>
    <t>Fiberglass Laminators and Fabricators</t>
  </si>
  <si>
    <t>51-2051</t>
  </si>
  <si>
    <t>51-2060</t>
  </si>
  <si>
    <t>Timing Device Assemblers and Adjusters</t>
  </si>
  <si>
    <t>51-2061</t>
  </si>
  <si>
    <t>51-2090</t>
  </si>
  <si>
    <t>Miscellaneous Assemblers and Fabricators</t>
  </si>
  <si>
    <t>51-2092</t>
  </si>
  <si>
    <t>Team Assemblers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</si>
  <si>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</si>
  <si>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</si>
  <si>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</si>
  <si>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</si>
  <si>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</si>
  <si>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</si>
  <si>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</si>
  <si>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</si>
  <si>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</si>
  <si>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</si>
  <si>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</si>
  <si>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</si>
  <si>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</si>
  <si>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</si>
  <si>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</si>
  <si>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</si>
  <si>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</si>
  <si>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</si>
  <si>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</si>
  <si>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</si>
  <si>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</si>
  <si>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</si>
  <si>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</si>
  <si>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</si>
  <si>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</si>
  <si>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</si>
  <si>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</si>
  <si>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</si>
  <si>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</si>
  <si>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</si>
  <si>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</si>
  <si>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</si>
  <si>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</si>
  <si>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</si>
  <si>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</si>
  <si>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</si>
  <si>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</si>
  <si>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</si>
  <si>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</si>
  <si>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</si>
  <si>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</si>
  <si>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</si>
  <si>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</si>
  <si>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</si>
  <si>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</si>
  <si>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</si>
  <si>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</si>
  <si>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</si>
  <si>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</si>
  <si>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</si>
  <si>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</si>
  <si>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</si>
  <si>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</si>
  <si>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</si>
  <si>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</si>
  <si>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</si>
  <si>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</si>
  <si>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</si>
  <si>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</si>
  <si>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</si>
  <si>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</si>
  <si>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</si>
  <si>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</si>
  <si>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</si>
  <si>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</si>
  <si>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</si>
  <si>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</si>
  <si>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</si>
  <si>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</si>
  <si>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</si>
  <si>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</si>
  <si>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</si>
  <si>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</si>
  <si>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</si>
  <si>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</si>
  <si>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</si>
  <si>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</si>
  <si>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</si>
  <si>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</si>
  <si>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</si>
  <si>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</si>
  <si>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</si>
  <si>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</si>
  <si>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</si>
  <si>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</si>
  <si>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</si>
  <si>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</si>
  <si>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</si>
  <si>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</si>
  <si>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</si>
  <si>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</si>
  <si>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</si>
  <si>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</si>
  <si>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</si>
  <si>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</si>
  <si>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</si>
  <si>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</si>
  <si>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</si>
  <si>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</si>
  <si>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</si>
  <si>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</si>
  <si>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</si>
  <si>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</si>
  <si>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</si>
  <si>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</si>
  <si>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</si>
  <si>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</si>
  <si>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</si>
  <si>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</si>
  <si>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</si>
  <si>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</si>
  <si>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</si>
  <si>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</si>
  <si>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</si>
  <si>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</si>
  <si>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</si>
  <si>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</si>
  <si>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</si>
  <si>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</si>
  <si>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</si>
  <si>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</si>
  <si>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</si>
  <si>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</si>
  <si>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</si>
  <si>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</si>
  <si>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</si>
  <si>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</si>
  <si>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</si>
  <si>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</si>
  <si>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</si>
  <si>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</si>
  <si>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</si>
  <si>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</si>
  <si>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</si>
  <si>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</si>
  <si>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</si>
  <si>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</si>
  <si>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</si>
  <si>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</si>
  <si>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</si>
  <si>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</si>
  <si>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</si>
  <si>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</si>
  <si>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</si>
  <si>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</si>
  <si>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</si>
  <si>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</si>
  <si>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</si>
  <si>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</si>
  <si>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</si>
  <si>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</si>
  <si>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</si>
  <si>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</si>
  <si>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</si>
  <si>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</si>
  <si>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</si>
  <si>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</si>
  <si>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</si>
  <si>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</si>
  <si>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</si>
  <si>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</si>
  <si>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</si>
  <si>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</si>
  <si>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</si>
  <si>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</si>
  <si>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</si>
  <si>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</si>
  <si>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</si>
  <si>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</si>
  <si>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</si>
  <si>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</si>
  <si>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</si>
  <si>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</si>
  <si>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</si>
  <si>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</si>
  <si>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</si>
  <si>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</si>
  <si>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</si>
  <si>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</si>
  <si>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</si>
  <si>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</si>
  <si>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</si>
  <si>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</si>
  <si>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</si>
  <si>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</si>
  <si>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</si>
  <si>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</si>
  <si>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</si>
  <si>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</si>
  <si>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</si>
  <si>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</si>
  <si>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</si>
  <si>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</si>
  <si>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</si>
  <si>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</si>
  <si>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</si>
  <si>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</si>
  <si>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</si>
  <si>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</si>
  <si>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</si>
  <si>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</si>
  <si>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</si>
  <si>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</si>
  <si>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</si>
  <si>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</si>
  <si>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</si>
  <si>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</si>
  <si>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</si>
  <si>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</si>
  <si>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</si>
  <si>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</si>
  <si>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</si>
  <si>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</si>
  <si>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</si>
  <si>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</si>
  <si>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</si>
  <si>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</si>
  <si>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</si>
  <si>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</si>
  <si>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</si>
  <si>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</si>
  <si>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</si>
  <si>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</si>
  <si>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</si>
  <si>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</si>
  <si>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</si>
  <si>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</si>
  <si>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</si>
  <si>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</si>
  <si>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Dental and Ophthalmic Laboratory Technicians and Medical Appliance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</si>
  <si>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</si>
  <si>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</si>
  <si>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</si>
  <si>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</si>
  <si>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</si>
  <si>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</si>
  <si>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</si>
  <si>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</si>
  <si>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</si>
  <si>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</si>
  <si>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</si>
  <si>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51-9123</t>
  </si>
  <si>
    <t>Painting, Coating, and Decorating Workers</t>
  </si>
  <si>
    <t>51-9124</t>
  </si>
  <si>
    <t>Coating, Painting, and Spraying Machine Setters, Operators, and Tenders</t>
  </si>
  <si>
    <t>51-9140</t>
  </si>
  <si>
    <t>Semiconductor Processing Technicians</t>
  </si>
  <si>
    <t>51-9141</t>
  </si>
  <si>
    <t>51-9150</t>
  </si>
  <si>
    <t>Photographic Process Workers and Processing Machine Operators</t>
  </si>
  <si>
    <t>51-9151</t>
  </si>
  <si>
    <t>51-9160</t>
  </si>
  <si>
    <t>Computer Numerically Controlled Tool Operators and Programmers</t>
  </si>
  <si>
    <t>51-9161</t>
  </si>
  <si>
    <t>Computer Numerically Controlled Tool Operators</t>
  </si>
  <si>
    <t>51-9162</t>
  </si>
  <si>
    <t>Computer Numerically Controlled Tool Programmers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</si>
  <si>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</si>
  <si>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</si>
  <si>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</si>
  <si>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</si>
  <si>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</si>
  <si>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</si>
  <si>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</si>
  <si>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</si>
  <si>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</si>
  <si>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</si>
  <si>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</si>
  <si>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</si>
  <si>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</si>
  <si>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</si>
  <si>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</si>
  <si>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</si>
  <si>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</si>
  <si>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</si>
  <si>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</si>
  <si>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</si>
  <si>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</si>
  <si>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</si>
  <si>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</si>
  <si>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</si>
  <si>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53-1040</t>
  </si>
  <si>
    <t>First-Line Supervisors of Transportation and Material Moving Workers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</si>
  <si>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</si>
  <si>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</si>
  <si>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</si>
  <si>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</si>
  <si>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</si>
  <si>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</si>
  <si>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</si>
  <si>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</si>
  <si>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</si>
  <si>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</si>
  <si>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</si>
  <si>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</si>
  <si>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</si>
  <si>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</si>
  <si>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</si>
  <si>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</si>
  <si>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</si>
  <si>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</si>
  <si>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</si>
  <si>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</si>
  <si>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</si>
  <si>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</si>
  <si>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</si>
  <si>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</si>
  <si>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</si>
  <si>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</si>
  <si>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</si>
  <si>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</si>
  <si>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</si>
  <si>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</si>
  <si>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</si>
  <si>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</si>
  <si>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</si>
  <si>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</si>
  <si>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</si>
  <si>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</si>
  <si>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</si>
  <si>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</si>
  <si>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</si>
  <si>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</si>
  <si>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53-3050</t>
  </si>
  <si>
    <t>Passenger Vehicle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</si>
  <si>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</si>
  <si>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</si>
  <si>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</si>
  <si>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</si>
  <si>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</si>
  <si>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</si>
  <si>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</si>
  <si>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</si>
  <si>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</si>
  <si>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</si>
  <si>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</si>
  <si>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</si>
  <si>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</si>
  <si>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</si>
  <si>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</si>
  <si>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</si>
  <si>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</si>
  <si>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</si>
  <si>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53-4013</t>
  </si>
  <si>
    <t>Rail Yard Engineers, Dinkey Operators, and Hostlers</t>
  </si>
  <si>
    <t>53-4020</t>
  </si>
  <si>
    <t>Railroad Brake, Signal, and Switch Operators and Locomotive Firers</t>
  </si>
  <si>
    <t>53-4022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</si>
  <si>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</si>
  <si>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</si>
  <si>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</si>
  <si>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</si>
  <si>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</si>
  <si>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</si>
  <si>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</si>
  <si>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</si>
  <si>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</si>
  <si>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</si>
  <si>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</si>
  <si>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</si>
  <si>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</si>
  <si>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</si>
  <si>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</si>
  <si>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</si>
  <si>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</si>
  <si>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</si>
  <si>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</si>
  <si>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</si>
  <si>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</si>
  <si>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</si>
  <si>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</si>
  <si>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</si>
  <si>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</si>
  <si>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</si>
  <si>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</si>
  <si>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</si>
  <si>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</si>
  <si>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</si>
  <si>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Attendants</t>
  </si>
  <si>
    <t>53-6021</t>
  </si>
  <si>
    <t>53-6030</t>
  </si>
  <si>
    <t>Transportation Service Attendants</t>
  </si>
  <si>
    <t>53-6031</t>
  </si>
  <si>
    <t>Automotive and Watercraft Service Attendants</t>
  </si>
  <si>
    <t>53-6032</t>
  </si>
  <si>
    <t>Aircraft Service Attendants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</si>
  <si>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</si>
  <si>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</si>
  <si>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</si>
  <si>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</si>
  <si>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</si>
  <si>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</si>
  <si>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</si>
  <si>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Passenger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</si>
  <si>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</si>
  <si>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</si>
  <si>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</si>
  <si>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</si>
  <si>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</si>
  <si>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</si>
  <si>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</si>
  <si>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</si>
  <si>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</si>
  <si>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</si>
  <si>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</si>
  <si>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</si>
  <si>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</si>
  <si>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</si>
  <si>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 Operators</t>
  </si>
  <si>
    <t>53-7031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</si>
  <si>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</si>
  <si>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</si>
  <si>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</si>
  <si>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</si>
  <si>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</si>
  <si>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</si>
  <si>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</si>
  <si>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</si>
  <si>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</si>
  <si>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</si>
  <si>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</si>
  <si>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</si>
  <si>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</si>
  <si>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</si>
  <si>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</si>
  <si>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</si>
  <si>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</si>
  <si>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</si>
  <si>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</si>
  <si>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</si>
  <si>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</si>
  <si>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</si>
  <si>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</si>
  <si>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</si>
  <si>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</si>
  <si>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</si>
  <si>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</si>
  <si>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</si>
  <si>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</si>
  <si>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</si>
  <si>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</si>
  <si>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</si>
  <si>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</si>
  <si>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</si>
  <si>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</si>
  <si>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</si>
  <si>
    <t>55-0000</t>
  </si>
  <si>
    <t>Military Specific Occupations</t>
  </si>
  <si>
    <t>55-1000</t>
  </si>
  <si>
    <t>Military Officer Special and Tactical Operations Leaders</t>
  </si>
  <si>
    <t>55-1010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</si>
  <si>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</si>
  <si>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</si>
  <si>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</si>
  <si>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</si>
  <si>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</si>
  <si>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</si>
  <si>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</si>
  <si>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</si>
  <si>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</si>
  <si>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</si>
  <si>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</si>
  <si>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</si>
  <si>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</si>
  <si>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</si>
  <si>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</si>
  <si>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</si>
  <si>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55-2000</t>
  </si>
  <si>
    <t>First-Line Enlisted Military Supervisors</t>
  </si>
  <si>
    <t>55-2010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</si>
  <si>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</si>
  <si>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</si>
  <si>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</si>
  <si>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</si>
  <si>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</si>
  <si>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</si>
  <si>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55-3000</t>
  </si>
  <si>
    <t>Military Enlisted Tactical Operations and Air/Weapons Specialists and Crew Members</t>
  </si>
  <si>
    <t>55-3010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</si>
  <si>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</si>
  <si>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</si>
  <si>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</si>
  <si>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</si>
  <si>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</si>
  <si>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</si>
  <si>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</si>
  <si>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</si>
  <si>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</si>
  <si>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</si>
  <si>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</si>
  <si>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</si>
  <si>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</si>
  <si>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</si>
  <si>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</si>
  <si>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</si>
  <si>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Major Group</t>
  </si>
  <si>
    <t>Broad Group</t>
  </si>
  <si>
    <t>Detailed Occupation</t>
  </si>
  <si>
    <t>Minor Group</t>
  </si>
  <si>
    <t>Special Education Teachers, Middle School</t>
  </si>
  <si>
    <t>Public Safety Telecommunicators</t>
  </si>
  <si>
    <t>Group Name</t>
  </si>
  <si>
    <t>MajorMirror</t>
  </si>
  <si>
    <t>MinorMirror</t>
  </si>
  <si>
    <t>BroadMirror</t>
  </si>
  <si>
    <t>DetailedMirror</t>
  </si>
  <si>
    <t>NameMirror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</si>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</sst>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13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CCEC7-F6FF-4358-B9C4-ADB9E3996A91}" name="Table1" displayName="Table1" ref="A1:K1448" totalsRowShown="0" headerRowDxfId="6" dataDxfId="7">
  <autoFilter ref="A1:K1448" xr:uid="{B16CCEC7-F6FF-4358-B9C4-ADB9E3996A91}"/>
  <tableColumns count="11">
    <tableColumn id="1" xr3:uid="{A2E084CD-B2B8-473E-AB42-FD0F90D607C5}" name="Major Group" dataDxfId="12"/>
    <tableColumn id="2" xr3:uid="{5B97E2C9-F445-49FE-A94B-204354274B68}" name="Minor Group" dataDxfId="11"/>
    <tableColumn id="3" xr3:uid="{281AE7CF-22EA-41CF-9554-99FC40A909E7}" name="Broad Group" dataDxfId="10"/>
    <tableColumn id="4" xr3:uid="{A4690841-14F9-4639-B269-68D8DE73F9CC}" name="Detailed Occupation" dataDxfId="9"/>
    <tableColumn id="5" xr3:uid="{4BCACA5B-2BD9-4407-8FA3-DB351B402B4F}" name="Group Name" dataDxfId="8"/>
    <tableColumn id="11" xr3:uid="{95D2DE51-2BD7-44D1-82BB-56C8D4E5A431}" name="Type" dataDxfId="4">
      <calculatedColumnFormula>IF(Table1[[#This Row],[Major Group]]&lt;&gt;"","Major",IF(Table1[[#This Row],[Minor Group]]&lt;&gt;"","Minor",IF(Table1[[#This Row],[Broad Group]]&lt;&gt;"","Broad",IF(Table1[[#This Row],[Detailed Occupation]]&lt;&gt;"","Detailed","tbd"))))</calculatedColumnFormula>
    </tableColumn>
    <tableColumn id="6" xr3:uid="{4ECB186D-8615-44C1-AE48-83542860880C}" name="MajorMirror" dataDxfId="3">
      <calculatedColumnFormula>IF(Table1[[#This Row],[Type]]="Major",Table1[[#This Row],[Major Group]],G1)</calculatedColumnFormula>
    </tableColumn>
    <tableColumn id="7" xr3:uid="{A1362E3B-7A7D-40EC-A635-77534CBBE8D1}" name="MinorMirror" dataDxfId="2">
      <calculatedColumnFormula>IF(Table1[[#This Row],[Major Group]]&lt;&gt;"","n/a",IF(Table1[[#This Row],[Minor Group]]&lt;&gt;"",Table1[[#This Row],[Minor Group]],H1))</calculatedColumnFormula>
    </tableColumn>
    <tableColumn id="8" xr3:uid="{4C034B92-A027-440A-B4D0-FAAE3A33C65F}" name="BroadMirror" dataDxfId="1">
      <calculatedColumnFormula>IF(Table1[[#This Row],[Major Group]]&lt;&gt;"","n/a",IF(Table1[[#This Row],[Minor Group]]&lt;&gt;"","n/a",IF(Table1[[#This Row],[Broad Group]]&lt;&gt;"",Table1[[#This Row],[Broad Group]],I1)))</calculatedColumnFormula>
    </tableColumn>
    <tableColumn id="9" xr3:uid="{4AD80088-DDBC-488E-8EF8-D2C7CCBE149D}" name="DetailedMirror" dataDxfId="0">
      <calculatedColumnFormula>IF(Table1[[#This Row],[Major Group]]&lt;&gt;"","n/a",IF(Table1[[#This Row],[Minor Group]]&lt;&gt;"","n/a",IF(Table1[[#This Row],[Broad Group]]&lt;&gt;"","n/a",IF(Table1[[#This Row],[Detailed Occupation]]&lt;&gt;"",Table1[[#This Row],[Detailed Occupation]],J1))))</calculatedColumnFormula>
    </tableColumn>
    <tableColumn id="10" xr3:uid="{A250B01D-305B-4DDE-A194-9E6C479958B2}" name="NameMirror" dataDxfId="5">
      <calculatedColumnFormula>Table1[[#This Row],[Group Name]]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48"/>
  <sheetViews>
    <sheetView tabSelected="1" workbookViewId="0">
      <selection activeCell="E7" sqref="E7"/>
    </sheetView>
  </sheetViews>
  <sheetFormatPr defaultColWidth="8.85546875" defaultRowHeight="15" x14ac:dyDescent="0.25"/>
  <cols>
    <col min="1" max="1" width="14.42578125" style="2" customWidth="1"/>
    <col min="2" max="2" width="14.5703125" style="2" customWidth="1"/>
    <col min="3" max="3" width="14.28515625" style="2" customWidth="1"/>
    <col min="4" max="4" width="21.140625" style="2" customWidth="1"/>
    <col min="5" max="5" width="32.140625" style="2" customWidth="1"/>
    <col min="6" max="6" width="16.140625" style="2" customWidth="1"/>
    <col min="7" max="7" width="14.140625" style="2" customWidth="1"/>
    <col min="8" max="8" width="14.28515625" style="2" customWidth="1"/>
    <col min="9" max="9" width="14" style="2" customWidth="1"/>
    <col min="10" max="10" width="16.42578125" style="2" customWidth="1"/>
    <col min="11" max="11" width="66.28515625" style="2" customWidth="1"/>
    <col min="12" max="16384" width="8.85546875" style="2"/>
  </cols>
  <sheetData>
    <row r="1" spans="1:11" ht="15.75" x14ac:dyDescent="0.25">
      <c r="A1" s="2" t="s">
        <v>2629</v>
      </c>
      <c r="B1" s="2" t="s">
        <v>2632</v>
      </c>
      <c r="C1" s="2" t="s">
        <v>2630</v>
      </c>
      <c r="D1" s="2" t="s">
        <v>2631</v>
      </c>
      <c r="E1" s="6" t="s">
        <v>2635</v>
      </c>
      <c r="F1" s="2" t="s">
        <v>2641</v>
      </c>
      <c r="G1" s="2" t="s">
        <v>2636</v>
      </c>
      <c r="H1" s="2" t="s">
        <v>2637</v>
      </c>
      <c r="I1" s="2" t="s">
        <v>2638</v>
      </c>
      <c r="J1" s="2" t="s">
        <v>2639</v>
      </c>
      <c r="K1" s="2" t="s">
        <v>2640</v>
      </c>
    </row>
    <row r="2" spans="1:11" ht="15.75" x14ac:dyDescent="0.25">
      <c r="A2" s="4" t="s">
        <v>0</v>
      </c>
      <c r="E2" s="4" t="s">
        <v>1</v>
      </c>
      <c r="F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2" s="2" t="str">
        <f>IF(Table1[[#This Row],[Type]]="Major",Table1[[#This Row],[Major Group]],G1)</f>
        <v>11-0000</v>
      </c>
      <c r="H2" s="2" t="str">
        <f>IF(Table1[[#This Row],[Major Group]]&lt;&gt;"","n/a",IF(Table1[[#This Row],[Minor Group]]&lt;&gt;"",Table1[[#This Row],[Minor Group]],H1))</f>
        <v>n/a</v>
      </c>
      <c r="I2" s="2" t="str">
        <f>IF(Table1[[#This Row],[Major Group]]&lt;&gt;"","n/a",IF(Table1[[#This Row],[Minor Group]]&lt;&gt;"","n/a",IF(Table1[[#This Row],[Broad Group]]&lt;&gt;"",Table1[[#This Row],[Broad Group]],I1)))</f>
        <v>n/a</v>
      </c>
      <c r="J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Occupation]],J1))))</f>
        <v>n/a</v>
      </c>
      <c r="K2" s="2" t="str">
        <f>Table1[[#This Row],[Group Name]]</f>
        <v>Management Occupations</v>
      </c>
    </row>
    <row r="3" spans="1:11" x14ac:dyDescent="0.25">
      <c r="B3" s="3" t="s">
        <v>2</v>
      </c>
      <c r="E3" s="3" t="s">
        <v>3</v>
      </c>
      <c r="F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" s="2" t="str">
        <f>IF(Table1[[#This Row],[Type]]="Major",Table1[[#This Row],[Major Group]],G2)</f>
        <v>11-0000</v>
      </c>
      <c r="H3" s="2" t="str">
        <f>IF(Table1[[#This Row],[Major Group]]&lt;&gt;"","n/a",IF(Table1[[#This Row],[Minor Group]]&lt;&gt;"",Table1[[#This Row],[Minor Group]],H2))</f>
        <v>11-1000</v>
      </c>
      <c r="I3" s="2" t="str">
        <f>IF(Table1[[#This Row],[Major Group]]&lt;&gt;"","n/a",IF(Table1[[#This Row],[Minor Group]]&lt;&gt;"","n/a",IF(Table1[[#This Row],[Broad Group]]&lt;&gt;"",Table1[[#This Row],[Broad Group]],I2)))</f>
        <v>n/a</v>
      </c>
      <c r="J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Occupation]],J2))))</f>
        <v>n/a</v>
      </c>
      <c r="K3" s="2" t="str">
        <f>Table1[[#This Row],[Group Name]]</f>
        <v>Top Executives</v>
      </c>
    </row>
    <row r="4" spans="1:11" x14ac:dyDescent="0.25">
      <c r="C4" s="1" t="s">
        <v>4</v>
      </c>
      <c r="E4" s="1" t="s">
        <v>5</v>
      </c>
      <c r="F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" s="2" t="str">
        <f>IF(Table1[[#This Row],[Type]]="Major",Table1[[#This Row],[Major Group]],G3)</f>
        <v>11-0000</v>
      </c>
      <c r="H4" s="2" t="str">
        <f>IF(Table1[[#This Row],[Major Group]]&lt;&gt;"","n/a",IF(Table1[[#This Row],[Minor Group]]&lt;&gt;"",Table1[[#This Row],[Minor Group]],H3))</f>
        <v>11-1000</v>
      </c>
      <c r="I4" s="2" t="str">
        <f>IF(Table1[[#This Row],[Major Group]]&lt;&gt;"","n/a",IF(Table1[[#This Row],[Minor Group]]&lt;&gt;"","n/a",IF(Table1[[#This Row],[Broad Group]]&lt;&gt;"",Table1[[#This Row],[Broad Group]],I3)))</f>
        <v>11-1010</v>
      </c>
      <c r="J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Occupation]],J3))))</f>
        <v>n/a</v>
      </c>
      <c r="K4" s="2" t="str">
        <f>Table1[[#This Row],[Group Name]]</f>
        <v>Chief Executives</v>
      </c>
    </row>
    <row r="5" spans="1:11" x14ac:dyDescent="0.25">
      <c r="D5" s="5" t="s">
        <v>6</v>
      </c>
      <c r="E5" s="5" t="s">
        <v>5</v>
      </c>
      <c r="F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" s="2" t="str">
        <f>IF(Table1[[#This Row],[Type]]="Major",Table1[[#This Row],[Major Group]],G4)</f>
        <v>11-0000</v>
      </c>
      <c r="H5" s="2" t="str">
        <f>IF(Table1[[#This Row],[Major Group]]&lt;&gt;"","n/a",IF(Table1[[#This Row],[Minor Group]]&lt;&gt;"",Table1[[#This Row],[Minor Group]],H4))</f>
        <v>11-1000</v>
      </c>
      <c r="I5" s="2" t="str">
        <f>IF(Table1[[#This Row],[Major Group]]&lt;&gt;"","n/a",IF(Table1[[#This Row],[Minor Group]]&lt;&gt;"","n/a",IF(Table1[[#This Row],[Broad Group]]&lt;&gt;"",Table1[[#This Row],[Broad Group]],I4)))</f>
        <v>11-1010</v>
      </c>
      <c r="J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Occupation]],J4))))</f>
        <v>11-1011</v>
      </c>
      <c r="K5" s="2" t="str">
        <f>Table1[[#This Row],[Group Name]]</f>
        <v>Chief Executives</v>
      </c>
    </row>
    <row r="6" spans="1:11" x14ac:dyDescent="0.25">
      <c r="C6" s="1" t="s">
        <v>7</v>
      </c>
      <c r="E6" s="1" t="s">
        <v>8</v>
      </c>
      <c r="F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" s="2" t="str">
        <f>IF(Table1[[#This Row],[Type]]="Major",Table1[[#This Row],[Major Group]],G5)</f>
        <v>11-0000</v>
      </c>
      <c r="H6" s="2" t="str">
        <f>IF(Table1[[#This Row],[Major Group]]&lt;&gt;"","n/a",IF(Table1[[#This Row],[Minor Group]]&lt;&gt;"",Table1[[#This Row],[Minor Group]],H5))</f>
        <v>11-1000</v>
      </c>
      <c r="I6" s="2" t="str">
        <f>IF(Table1[[#This Row],[Major Group]]&lt;&gt;"","n/a",IF(Table1[[#This Row],[Minor Group]]&lt;&gt;"","n/a",IF(Table1[[#This Row],[Broad Group]]&lt;&gt;"",Table1[[#This Row],[Broad Group]],I5)))</f>
        <v>11-1020</v>
      </c>
      <c r="J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Occupation]],J5))))</f>
        <v>n/a</v>
      </c>
      <c r="K6" s="2" t="str">
        <f>Table1[[#This Row],[Group Name]]</f>
        <v>General and Operations Managers</v>
      </c>
    </row>
    <row r="7" spans="1:11" x14ac:dyDescent="0.25">
      <c r="D7" s="5" t="s">
        <v>9</v>
      </c>
      <c r="E7" s="5" t="s">
        <v>8</v>
      </c>
      <c r="F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" s="2" t="str">
        <f>IF(Table1[[#This Row],[Type]]="Major",Table1[[#This Row],[Major Group]],G6)</f>
        <v>11-0000</v>
      </c>
      <c r="H7" s="2" t="str">
        <f>IF(Table1[[#This Row],[Major Group]]&lt;&gt;"","n/a",IF(Table1[[#This Row],[Minor Group]]&lt;&gt;"",Table1[[#This Row],[Minor Group]],H6))</f>
        <v>11-1000</v>
      </c>
      <c r="I7" s="2" t="str">
        <f>IF(Table1[[#This Row],[Major Group]]&lt;&gt;"","n/a",IF(Table1[[#This Row],[Minor Group]]&lt;&gt;"","n/a",IF(Table1[[#This Row],[Broad Group]]&lt;&gt;"",Table1[[#This Row],[Broad Group]],I6)))</f>
        <v>11-1020</v>
      </c>
      <c r="J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Occupation]],J6))))</f>
        <v>11-1021</v>
      </c>
      <c r="K7" s="2" t="str">
        <f>Table1[[#This Row],[Group Name]]</f>
        <v>General and Operations Managers</v>
      </c>
    </row>
    <row r="8" spans="1:11" x14ac:dyDescent="0.25">
      <c r="C8" s="1" t="s">
        <v>10</v>
      </c>
      <c r="E8" s="1" t="s">
        <v>11</v>
      </c>
      <c r="F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" s="2" t="str">
        <f>IF(Table1[[#This Row],[Type]]="Major",Table1[[#This Row],[Major Group]],G7)</f>
        <v>11-0000</v>
      </c>
      <c r="H8" s="2" t="str">
        <f>IF(Table1[[#This Row],[Major Group]]&lt;&gt;"","n/a",IF(Table1[[#This Row],[Minor Group]]&lt;&gt;"",Table1[[#This Row],[Minor Group]],H7))</f>
        <v>11-1000</v>
      </c>
      <c r="I8" s="2" t="str">
        <f>IF(Table1[[#This Row],[Major Group]]&lt;&gt;"","n/a",IF(Table1[[#This Row],[Minor Group]]&lt;&gt;"","n/a",IF(Table1[[#This Row],[Broad Group]]&lt;&gt;"",Table1[[#This Row],[Broad Group]],I7)))</f>
        <v>11-1030</v>
      </c>
      <c r="J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Occupation]],J7))))</f>
        <v>n/a</v>
      </c>
      <c r="K8" s="2" t="str">
        <f>Table1[[#This Row],[Group Name]]</f>
        <v>Legislators</v>
      </c>
    </row>
    <row r="9" spans="1:11" x14ac:dyDescent="0.25">
      <c r="D9" s="5" t="s">
        <v>12</v>
      </c>
      <c r="E9" s="5" t="s">
        <v>11</v>
      </c>
      <c r="F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" s="2" t="str">
        <f>IF(Table1[[#This Row],[Type]]="Major",Table1[[#This Row],[Major Group]],G8)</f>
        <v>11-0000</v>
      </c>
      <c r="H9" s="2" t="str">
        <f>IF(Table1[[#This Row],[Major Group]]&lt;&gt;"","n/a",IF(Table1[[#This Row],[Minor Group]]&lt;&gt;"",Table1[[#This Row],[Minor Group]],H8))</f>
        <v>11-1000</v>
      </c>
      <c r="I9" s="2" t="str">
        <f>IF(Table1[[#This Row],[Major Group]]&lt;&gt;"","n/a",IF(Table1[[#This Row],[Minor Group]]&lt;&gt;"","n/a",IF(Table1[[#This Row],[Broad Group]]&lt;&gt;"",Table1[[#This Row],[Broad Group]],I8)))</f>
        <v>11-1030</v>
      </c>
      <c r="J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Occupation]],J8))))</f>
        <v>11-1031</v>
      </c>
      <c r="K9" s="2" t="str">
        <f>Table1[[#This Row],[Group Name]]</f>
        <v>Legislators</v>
      </c>
    </row>
    <row r="10" spans="1:11" x14ac:dyDescent="0.25">
      <c r="B10" s="3" t="s">
        <v>13</v>
      </c>
      <c r="E10" s="3" t="s">
        <v>14</v>
      </c>
      <c r="F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0" s="2" t="str">
        <f>IF(Table1[[#This Row],[Type]]="Major",Table1[[#This Row],[Major Group]],G9)</f>
        <v>11-0000</v>
      </c>
      <c r="H10" s="2" t="str">
        <f>IF(Table1[[#This Row],[Major Group]]&lt;&gt;"","n/a",IF(Table1[[#This Row],[Minor Group]]&lt;&gt;"",Table1[[#This Row],[Minor Group]],H9))</f>
        <v>11-2000</v>
      </c>
      <c r="I10" s="2" t="str">
        <f>IF(Table1[[#This Row],[Major Group]]&lt;&gt;"","n/a",IF(Table1[[#This Row],[Minor Group]]&lt;&gt;"","n/a",IF(Table1[[#This Row],[Broad Group]]&lt;&gt;"",Table1[[#This Row],[Broad Group]],I9)))</f>
        <v>n/a</v>
      </c>
      <c r="J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Occupation]],J9))))</f>
        <v>n/a</v>
      </c>
      <c r="K10" s="2" t="str">
        <f>Table1[[#This Row],[Group Name]]</f>
        <v>Advertising, Marketing, Promotions, Public Relations, and Sales Managers</v>
      </c>
    </row>
    <row r="11" spans="1:11" ht="30" x14ac:dyDescent="0.25">
      <c r="C11" s="1" t="s">
        <v>15</v>
      </c>
      <c r="E11" s="1" t="s">
        <v>16</v>
      </c>
      <c r="F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" s="2" t="str">
        <f>IF(Table1[[#This Row],[Type]]="Major",Table1[[#This Row],[Major Group]],G10)</f>
        <v>11-0000</v>
      </c>
      <c r="H11" s="2" t="str">
        <f>IF(Table1[[#This Row],[Major Group]]&lt;&gt;"","n/a",IF(Table1[[#This Row],[Minor Group]]&lt;&gt;"",Table1[[#This Row],[Minor Group]],H10))</f>
        <v>11-2000</v>
      </c>
      <c r="I11" s="2" t="str">
        <f>IF(Table1[[#This Row],[Major Group]]&lt;&gt;"","n/a",IF(Table1[[#This Row],[Minor Group]]&lt;&gt;"","n/a",IF(Table1[[#This Row],[Broad Group]]&lt;&gt;"",Table1[[#This Row],[Broad Group]],I10)))</f>
        <v>11-2010</v>
      </c>
      <c r="J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Occupation]],J10))))</f>
        <v>n/a</v>
      </c>
      <c r="K11" s="2" t="str">
        <f>Table1[[#This Row],[Group Name]]</f>
        <v>Advertising and Promotions Managers</v>
      </c>
    </row>
    <row r="12" spans="1:11" x14ac:dyDescent="0.25">
      <c r="D12" s="5" t="s">
        <v>17</v>
      </c>
      <c r="E12" s="5" t="s">
        <v>16</v>
      </c>
      <c r="F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" s="2" t="str">
        <f>IF(Table1[[#This Row],[Type]]="Major",Table1[[#This Row],[Major Group]],G11)</f>
        <v>11-0000</v>
      </c>
      <c r="H12" s="2" t="str">
        <f>IF(Table1[[#This Row],[Major Group]]&lt;&gt;"","n/a",IF(Table1[[#This Row],[Minor Group]]&lt;&gt;"",Table1[[#This Row],[Minor Group]],H11))</f>
        <v>11-2000</v>
      </c>
      <c r="I12" s="2" t="str">
        <f>IF(Table1[[#This Row],[Major Group]]&lt;&gt;"","n/a",IF(Table1[[#This Row],[Minor Group]]&lt;&gt;"","n/a",IF(Table1[[#This Row],[Broad Group]]&lt;&gt;"",Table1[[#This Row],[Broad Group]],I11)))</f>
        <v>11-2010</v>
      </c>
      <c r="J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Occupation]],J11))))</f>
        <v>11-2011</v>
      </c>
      <c r="K12" s="2" t="str">
        <f>Table1[[#This Row],[Group Name]]</f>
        <v>Advertising and Promotions Managers</v>
      </c>
    </row>
    <row r="13" spans="1:11" x14ac:dyDescent="0.25">
      <c r="C13" s="1" t="s">
        <v>18</v>
      </c>
      <c r="E13" s="1" t="s">
        <v>19</v>
      </c>
      <c r="F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" s="2" t="str">
        <f>IF(Table1[[#This Row],[Type]]="Major",Table1[[#This Row],[Major Group]],G12)</f>
        <v>11-0000</v>
      </c>
      <c r="H13" s="2" t="str">
        <f>IF(Table1[[#This Row],[Major Group]]&lt;&gt;"","n/a",IF(Table1[[#This Row],[Minor Group]]&lt;&gt;"",Table1[[#This Row],[Minor Group]],H12))</f>
        <v>11-2000</v>
      </c>
      <c r="I13" s="2" t="str">
        <f>IF(Table1[[#This Row],[Major Group]]&lt;&gt;"","n/a",IF(Table1[[#This Row],[Minor Group]]&lt;&gt;"","n/a",IF(Table1[[#This Row],[Broad Group]]&lt;&gt;"",Table1[[#This Row],[Broad Group]],I12)))</f>
        <v>11-2020</v>
      </c>
      <c r="J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Occupation]],J12))))</f>
        <v>n/a</v>
      </c>
      <c r="K13" s="2" t="str">
        <f>Table1[[#This Row],[Group Name]]</f>
        <v>Marketing and Sales Managers</v>
      </c>
    </row>
    <row r="14" spans="1:11" x14ac:dyDescent="0.25">
      <c r="D14" s="5" t="s">
        <v>20</v>
      </c>
      <c r="E14" s="5" t="s">
        <v>21</v>
      </c>
      <c r="F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" s="2" t="str">
        <f>IF(Table1[[#This Row],[Type]]="Major",Table1[[#This Row],[Major Group]],G13)</f>
        <v>11-0000</v>
      </c>
      <c r="H14" s="2" t="str">
        <f>IF(Table1[[#This Row],[Major Group]]&lt;&gt;"","n/a",IF(Table1[[#This Row],[Minor Group]]&lt;&gt;"",Table1[[#This Row],[Minor Group]],H13))</f>
        <v>11-2000</v>
      </c>
      <c r="I14" s="2" t="str">
        <f>IF(Table1[[#This Row],[Major Group]]&lt;&gt;"","n/a",IF(Table1[[#This Row],[Minor Group]]&lt;&gt;"","n/a",IF(Table1[[#This Row],[Broad Group]]&lt;&gt;"",Table1[[#This Row],[Broad Group]],I13)))</f>
        <v>11-2020</v>
      </c>
      <c r="J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Occupation]],J13))))</f>
        <v>11-2021</v>
      </c>
      <c r="K14" s="2" t="str">
        <f>Table1[[#This Row],[Group Name]]</f>
        <v>Marketing Managers</v>
      </c>
    </row>
    <row r="15" spans="1:11" x14ac:dyDescent="0.25">
      <c r="D15" s="5" t="s">
        <v>22</v>
      </c>
      <c r="E15" s="5" t="s">
        <v>23</v>
      </c>
      <c r="F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" s="2" t="str">
        <f>IF(Table1[[#This Row],[Type]]="Major",Table1[[#This Row],[Major Group]],G14)</f>
        <v>11-0000</v>
      </c>
      <c r="H15" s="2" t="str">
        <f>IF(Table1[[#This Row],[Major Group]]&lt;&gt;"","n/a",IF(Table1[[#This Row],[Minor Group]]&lt;&gt;"",Table1[[#This Row],[Minor Group]],H14))</f>
        <v>11-2000</v>
      </c>
      <c r="I15" s="2" t="str">
        <f>IF(Table1[[#This Row],[Major Group]]&lt;&gt;"","n/a",IF(Table1[[#This Row],[Minor Group]]&lt;&gt;"","n/a",IF(Table1[[#This Row],[Broad Group]]&lt;&gt;"",Table1[[#This Row],[Broad Group]],I14)))</f>
        <v>11-2020</v>
      </c>
      <c r="J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Occupation]],J14))))</f>
        <v>11-2022</v>
      </c>
      <c r="K15" s="2" t="str">
        <f>Table1[[#This Row],[Group Name]]</f>
        <v>Sales Managers</v>
      </c>
    </row>
    <row r="16" spans="1:11" ht="30" x14ac:dyDescent="0.25">
      <c r="C16" s="1" t="s">
        <v>24</v>
      </c>
      <c r="E16" s="1" t="s">
        <v>25</v>
      </c>
      <c r="F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6" s="2" t="str">
        <f>IF(Table1[[#This Row],[Type]]="Major",Table1[[#This Row],[Major Group]],G15)</f>
        <v>11-0000</v>
      </c>
      <c r="H16" s="2" t="str">
        <f>IF(Table1[[#This Row],[Major Group]]&lt;&gt;"","n/a",IF(Table1[[#This Row],[Minor Group]]&lt;&gt;"",Table1[[#This Row],[Minor Group]],H15))</f>
        <v>11-2000</v>
      </c>
      <c r="I16" s="2" t="str">
        <f>IF(Table1[[#This Row],[Major Group]]&lt;&gt;"","n/a",IF(Table1[[#This Row],[Minor Group]]&lt;&gt;"","n/a",IF(Table1[[#This Row],[Broad Group]]&lt;&gt;"",Table1[[#This Row],[Broad Group]],I15)))</f>
        <v>11-2030</v>
      </c>
      <c r="J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Occupation]],J15))))</f>
        <v>n/a</v>
      </c>
      <c r="K16" s="2" t="str">
        <f>Table1[[#This Row],[Group Name]]</f>
        <v>Public Relations and Fundraising Managers</v>
      </c>
    </row>
    <row r="17" spans="2:11" x14ac:dyDescent="0.25">
      <c r="D17" s="5" t="s">
        <v>26</v>
      </c>
      <c r="E17" s="5" t="s">
        <v>27</v>
      </c>
      <c r="F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7" s="2" t="str">
        <f>IF(Table1[[#This Row],[Type]]="Major",Table1[[#This Row],[Major Group]],G16)</f>
        <v>11-0000</v>
      </c>
      <c r="H17" s="2" t="str">
        <f>IF(Table1[[#This Row],[Major Group]]&lt;&gt;"","n/a",IF(Table1[[#This Row],[Minor Group]]&lt;&gt;"",Table1[[#This Row],[Minor Group]],H16))</f>
        <v>11-2000</v>
      </c>
      <c r="I17" s="2" t="str">
        <f>IF(Table1[[#This Row],[Major Group]]&lt;&gt;"","n/a",IF(Table1[[#This Row],[Minor Group]]&lt;&gt;"","n/a",IF(Table1[[#This Row],[Broad Group]]&lt;&gt;"",Table1[[#This Row],[Broad Group]],I16)))</f>
        <v>11-2030</v>
      </c>
      <c r="J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Occupation]],J16))))</f>
        <v>11-2032</v>
      </c>
      <c r="K17" s="2" t="str">
        <f>Table1[[#This Row],[Group Name]]</f>
        <v>Public Relations Managers</v>
      </c>
    </row>
    <row r="18" spans="2:11" x14ac:dyDescent="0.25">
      <c r="D18" s="5" t="s">
        <v>28</v>
      </c>
      <c r="E18" s="5" t="s">
        <v>29</v>
      </c>
      <c r="F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8" s="2" t="str">
        <f>IF(Table1[[#This Row],[Type]]="Major",Table1[[#This Row],[Major Group]],G17)</f>
        <v>11-0000</v>
      </c>
      <c r="H18" s="2" t="str">
        <f>IF(Table1[[#This Row],[Major Group]]&lt;&gt;"","n/a",IF(Table1[[#This Row],[Minor Group]]&lt;&gt;"",Table1[[#This Row],[Minor Group]],H17))</f>
        <v>11-2000</v>
      </c>
      <c r="I18" s="2" t="str">
        <f>IF(Table1[[#This Row],[Major Group]]&lt;&gt;"","n/a",IF(Table1[[#This Row],[Minor Group]]&lt;&gt;"","n/a",IF(Table1[[#This Row],[Broad Group]]&lt;&gt;"",Table1[[#This Row],[Broad Group]],I17)))</f>
        <v>11-2030</v>
      </c>
      <c r="J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Occupation]],J17))))</f>
        <v>11-2033</v>
      </c>
      <c r="K18" s="2" t="str">
        <f>Table1[[#This Row],[Group Name]]</f>
        <v>Fundraising Managers</v>
      </c>
    </row>
    <row r="19" spans="2:11" x14ac:dyDescent="0.25">
      <c r="B19" s="3" t="s">
        <v>30</v>
      </c>
      <c r="E19" s="3" t="s">
        <v>31</v>
      </c>
      <c r="F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9" s="2" t="str">
        <f>IF(Table1[[#This Row],[Type]]="Major",Table1[[#This Row],[Major Group]],G18)</f>
        <v>11-0000</v>
      </c>
      <c r="H19" s="2" t="str">
        <f>IF(Table1[[#This Row],[Major Group]]&lt;&gt;"","n/a",IF(Table1[[#This Row],[Minor Group]]&lt;&gt;"",Table1[[#This Row],[Minor Group]],H18))</f>
        <v>11-3000</v>
      </c>
      <c r="I19" s="2" t="str">
        <f>IF(Table1[[#This Row],[Major Group]]&lt;&gt;"","n/a",IF(Table1[[#This Row],[Minor Group]]&lt;&gt;"","n/a",IF(Table1[[#This Row],[Broad Group]]&lt;&gt;"",Table1[[#This Row],[Broad Group]],I18)))</f>
        <v>n/a</v>
      </c>
      <c r="J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Occupation]],J18))))</f>
        <v>n/a</v>
      </c>
      <c r="K19" s="2" t="str">
        <f>Table1[[#This Row],[Group Name]]</f>
        <v>Operations Specialties Managers</v>
      </c>
    </row>
    <row r="20" spans="2:11" ht="30" x14ac:dyDescent="0.25">
      <c r="C20" s="1" t="s">
        <v>32</v>
      </c>
      <c r="E20" s="1" t="s">
        <v>33</v>
      </c>
      <c r="F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0" s="2" t="str">
        <f>IF(Table1[[#This Row],[Type]]="Major",Table1[[#This Row],[Major Group]],G19)</f>
        <v>11-0000</v>
      </c>
      <c r="H20" s="2" t="str">
        <f>IF(Table1[[#This Row],[Major Group]]&lt;&gt;"","n/a",IF(Table1[[#This Row],[Minor Group]]&lt;&gt;"",Table1[[#This Row],[Minor Group]],H19))</f>
        <v>11-3000</v>
      </c>
      <c r="I20" s="2" t="str">
        <f>IF(Table1[[#This Row],[Major Group]]&lt;&gt;"","n/a",IF(Table1[[#This Row],[Minor Group]]&lt;&gt;"","n/a",IF(Table1[[#This Row],[Broad Group]]&lt;&gt;"",Table1[[#This Row],[Broad Group]],I19)))</f>
        <v>11-3010</v>
      </c>
      <c r="J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Occupation]],J19))))</f>
        <v>n/a</v>
      </c>
      <c r="K20" s="2" t="str">
        <f>Table1[[#This Row],[Group Name]]</f>
        <v>Administrative Services and Facilities Managers</v>
      </c>
    </row>
    <row r="21" spans="2:11" x14ac:dyDescent="0.25">
      <c r="D21" s="5" t="s">
        <v>34</v>
      </c>
      <c r="E21" s="5" t="s">
        <v>35</v>
      </c>
      <c r="F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1" s="2" t="str">
        <f>IF(Table1[[#This Row],[Type]]="Major",Table1[[#This Row],[Major Group]],G20)</f>
        <v>11-0000</v>
      </c>
      <c r="H21" s="2" t="str">
        <f>IF(Table1[[#This Row],[Major Group]]&lt;&gt;"","n/a",IF(Table1[[#This Row],[Minor Group]]&lt;&gt;"",Table1[[#This Row],[Minor Group]],H20))</f>
        <v>11-3000</v>
      </c>
      <c r="I21" s="2" t="str">
        <f>IF(Table1[[#This Row],[Major Group]]&lt;&gt;"","n/a",IF(Table1[[#This Row],[Minor Group]]&lt;&gt;"","n/a",IF(Table1[[#This Row],[Broad Group]]&lt;&gt;"",Table1[[#This Row],[Broad Group]],I20)))</f>
        <v>11-3010</v>
      </c>
      <c r="J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Occupation]],J20))))</f>
        <v>11-3012</v>
      </c>
      <c r="K21" s="2" t="str">
        <f>Table1[[#This Row],[Group Name]]</f>
        <v>Administrative Services Managers</v>
      </c>
    </row>
    <row r="22" spans="2:11" x14ac:dyDescent="0.25">
      <c r="D22" s="5" t="s">
        <v>36</v>
      </c>
      <c r="E22" s="5" t="s">
        <v>37</v>
      </c>
      <c r="F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" s="2" t="str">
        <f>IF(Table1[[#This Row],[Type]]="Major",Table1[[#This Row],[Major Group]],G21)</f>
        <v>11-0000</v>
      </c>
      <c r="H22" s="2" t="str">
        <f>IF(Table1[[#This Row],[Major Group]]&lt;&gt;"","n/a",IF(Table1[[#This Row],[Minor Group]]&lt;&gt;"",Table1[[#This Row],[Minor Group]],H21))</f>
        <v>11-3000</v>
      </c>
      <c r="I22" s="2" t="str">
        <f>IF(Table1[[#This Row],[Major Group]]&lt;&gt;"","n/a",IF(Table1[[#This Row],[Minor Group]]&lt;&gt;"","n/a",IF(Table1[[#This Row],[Broad Group]]&lt;&gt;"",Table1[[#This Row],[Broad Group]],I21)))</f>
        <v>11-3010</v>
      </c>
      <c r="J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Occupation]],J21))))</f>
        <v>11-3013</v>
      </c>
      <c r="K22" s="2" t="str">
        <f>Table1[[#This Row],[Group Name]]</f>
        <v>Facilities Managers</v>
      </c>
    </row>
    <row r="23" spans="2:11" ht="30" x14ac:dyDescent="0.25">
      <c r="C23" s="1" t="s">
        <v>38</v>
      </c>
      <c r="E23" s="1" t="s">
        <v>39</v>
      </c>
      <c r="F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3" s="2" t="str">
        <f>IF(Table1[[#This Row],[Type]]="Major",Table1[[#This Row],[Major Group]],G22)</f>
        <v>11-0000</v>
      </c>
      <c r="H23" s="2" t="str">
        <f>IF(Table1[[#This Row],[Major Group]]&lt;&gt;"","n/a",IF(Table1[[#This Row],[Minor Group]]&lt;&gt;"",Table1[[#This Row],[Minor Group]],H22))</f>
        <v>11-3000</v>
      </c>
      <c r="I23" s="2" t="str">
        <f>IF(Table1[[#This Row],[Major Group]]&lt;&gt;"","n/a",IF(Table1[[#This Row],[Minor Group]]&lt;&gt;"","n/a",IF(Table1[[#This Row],[Broad Group]]&lt;&gt;"",Table1[[#This Row],[Broad Group]],I22)))</f>
        <v>11-3020</v>
      </c>
      <c r="J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Occupation]],J22))))</f>
        <v>n/a</v>
      </c>
      <c r="K23" s="2" t="str">
        <f>Table1[[#This Row],[Group Name]]</f>
        <v>Computer and Information Systems Managers</v>
      </c>
    </row>
    <row r="24" spans="2:11" ht="25.5" x14ac:dyDescent="0.25">
      <c r="D24" s="5" t="s">
        <v>40</v>
      </c>
      <c r="E24" s="5" t="s">
        <v>39</v>
      </c>
      <c r="F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" s="2" t="str">
        <f>IF(Table1[[#This Row],[Type]]="Major",Table1[[#This Row],[Major Group]],G23)</f>
        <v>11-0000</v>
      </c>
      <c r="H24" s="2" t="str">
        <f>IF(Table1[[#This Row],[Major Group]]&lt;&gt;"","n/a",IF(Table1[[#This Row],[Minor Group]]&lt;&gt;"",Table1[[#This Row],[Minor Group]],H23))</f>
        <v>11-3000</v>
      </c>
      <c r="I24" s="2" t="str">
        <f>IF(Table1[[#This Row],[Major Group]]&lt;&gt;"","n/a",IF(Table1[[#This Row],[Minor Group]]&lt;&gt;"","n/a",IF(Table1[[#This Row],[Broad Group]]&lt;&gt;"",Table1[[#This Row],[Broad Group]],I23)))</f>
        <v>11-3020</v>
      </c>
      <c r="J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Occupation]],J23))))</f>
        <v>11-3021</v>
      </c>
      <c r="K24" s="2" t="str">
        <f>Table1[[#This Row],[Group Name]]</f>
        <v>Computer and Information Systems Managers</v>
      </c>
    </row>
    <row r="25" spans="2:11" x14ac:dyDescent="0.25">
      <c r="C25" s="1" t="s">
        <v>41</v>
      </c>
      <c r="E25" s="1" t="s">
        <v>42</v>
      </c>
      <c r="F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5" s="2" t="str">
        <f>IF(Table1[[#This Row],[Type]]="Major",Table1[[#This Row],[Major Group]],G24)</f>
        <v>11-0000</v>
      </c>
      <c r="H25" s="2" t="str">
        <f>IF(Table1[[#This Row],[Major Group]]&lt;&gt;"","n/a",IF(Table1[[#This Row],[Minor Group]]&lt;&gt;"",Table1[[#This Row],[Minor Group]],H24))</f>
        <v>11-3000</v>
      </c>
      <c r="I25" s="2" t="str">
        <f>IF(Table1[[#This Row],[Major Group]]&lt;&gt;"","n/a",IF(Table1[[#This Row],[Minor Group]]&lt;&gt;"","n/a",IF(Table1[[#This Row],[Broad Group]]&lt;&gt;"",Table1[[#This Row],[Broad Group]],I24)))</f>
        <v>11-3030</v>
      </c>
      <c r="J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Occupation]],J24))))</f>
        <v>n/a</v>
      </c>
      <c r="K25" s="2" t="str">
        <f>Table1[[#This Row],[Group Name]]</f>
        <v>Financial Managers</v>
      </c>
    </row>
    <row r="26" spans="2:11" x14ac:dyDescent="0.25">
      <c r="D26" s="5" t="s">
        <v>43</v>
      </c>
      <c r="E26" s="5" t="s">
        <v>42</v>
      </c>
      <c r="F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6" s="2" t="str">
        <f>IF(Table1[[#This Row],[Type]]="Major",Table1[[#This Row],[Major Group]],G25)</f>
        <v>11-0000</v>
      </c>
      <c r="H26" s="2" t="str">
        <f>IF(Table1[[#This Row],[Major Group]]&lt;&gt;"","n/a",IF(Table1[[#This Row],[Minor Group]]&lt;&gt;"",Table1[[#This Row],[Minor Group]],H25))</f>
        <v>11-3000</v>
      </c>
      <c r="I26" s="2" t="str">
        <f>IF(Table1[[#This Row],[Major Group]]&lt;&gt;"","n/a",IF(Table1[[#This Row],[Minor Group]]&lt;&gt;"","n/a",IF(Table1[[#This Row],[Broad Group]]&lt;&gt;"",Table1[[#This Row],[Broad Group]],I25)))</f>
        <v>11-3030</v>
      </c>
      <c r="J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Occupation]],J25))))</f>
        <v>11-3031</v>
      </c>
      <c r="K26" s="2" t="str">
        <f>Table1[[#This Row],[Group Name]]</f>
        <v>Financial Managers</v>
      </c>
    </row>
    <row r="27" spans="2:11" x14ac:dyDescent="0.25">
      <c r="C27" s="1" t="s">
        <v>44</v>
      </c>
      <c r="E27" s="1" t="s">
        <v>45</v>
      </c>
      <c r="F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7" s="2" t="str">
        <f>IF(Table1[[#This Row],[Type]]="Major",Table1[[#This Row],[Major Group]],G26)</f>
        <v>11-0000</v>
      </c>
      <c r="H27" s="2" t="str">
        <f>IF(Table1[[#This Row],[Major Group]]&lt;&gt;"","n/a",IF(Table1[[#This Row],[Minor Group]]&lt;&gt;"",Table1[[#This Row],[Minor Group]],H26))</f>
        <v>11-3000</v>
      </c>
      <c r="I27" s="2" t="str">
        <f>IF(Table1[[#This Row],[Major Group]]&lt;&gt;"","n/a",IF(Table1[[#This Row],[Minor Group]]&lt;&gt;"","n/a",IF(Table1[[#This Row],[Broad Group]]&lt;&gt;"",Table1[[#This Row],[Broad Group]],I26)))</f>
        <v>11-3050</v>
      </c>
      <c r="J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Occupation]],J26))))</f>
        <v>n/a</v>
      </c>
      <c r="K27" s="2" t="str">
        <f>Table1[[#This Row],[Group Name]]</f>
        <v>Industrial Production Managers</v>
      </c>
    </row>
    <row r="28" spans="2:11" x14ac:dyDescent="0.25">
      <c r="D28" s="5" t="s">
        <v>46</v>
      </c>
      <c r="E28" s="5" t="s">
        <v>45</v>
      </c>
      <c r="F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" s="2" t="str">
        <f>IF(Table1[[#This Row],[Type]]="Major",Table1[[#This Row],[Major Group]],G27)</f>
        <v>11-0000</v>
      </c>
      <c r="H28" s="2" t="str">
        <f>IF(Table1[[#This Row],[Major Group]]&lt;&gt;"","n/a",IF(Table1[[#This Row],[Minor Group]]&lt;&gt;"",Table1[[#This Row],[Minor Group]],H27))</f>
        <v>11-3000</v>
      </c>
      <c r="I28" s="2" t="str">
        <f>IF(Table1[[#This Row],[Major Group]]&lt;&gt;"","n/a",IF(Table1[[#This Row],[Minor Group]]&lt;&gt;"","n/a",IF(Table1[[#This Row],[Broad Group]]&lt;&gt;"",Table1[[#This Row],[Broad Group]],I27)))</f>
        <v>11-3050</v>
      </c>
      <c r="J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Occupation]],J27))))</f>
        <v>11-3051</v>
      </c>
      <c r="K28" s="2" t="str">
        <f>Table1[[#This Row],[Group Name]]</f>
        <v>Industrial Production Managers</v>
      </c>
    </row>
    <row r="29" spans="2:11" x14ac:dyDescent="0.25">
      <c r="C29" s="1" t="s">
        <v>47</v>
      </c>
      <c r="E29" s="1" t="s">
        <v>48</v>
      </c>
      <c r="F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9" s="2" t="str">
        <f>IF(Table1[[#This Row],[Type]]="Major",Table1[[#This Row],[Major Group]],G28)</f>
        <v>11-0000</v>
      </c>
      <c r="H29" s="2" t="str">
        <f>IF(Table1[[#This Row],[Major Group]]&lt;&gt;"","n/a",IF(Table1[[#This Row],[Minor Group]]&lt;&gt;"",Table1[[#This Row],[Minor Group]],H28))</f>
        <v>11-3000</v>
      </c>
      <c r="I29" s="2" t="str">
        <f>IF(Table1[[#This Row],[Major Group]]&lt;&gt;"","n/a",IF(Table1[[#This Row],[Minor Group]]&lt;&gt;"","n/a",IF(Table1[[#This Row],[Broad Group]]&lt;&gt;"",Table1[[#This Row],[Broad Group]],I28)))</f>
        <v>11-3060</v>
      </c>
      <c r="J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Occupation]],J28))))</f>
        <v>n/a</v>
      </c>
      <c r="K29" s="2" t="str">
        <f>Table1[[#This Row],[Group Name]]</f>
        <v>Purchasing Managers</v>
      </c>
    </row>
    <row r="30" spans="2:11" x14ac:dyDescent="0.25">
      <c r="D30" s="5" t="s">
        <v>49</v>
      </c>
      <c r="E30" s="5" t="s">
        <v>48</v>
      </c>
      <c r="F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0" s="2" t="str">
        <f>IF(Table1[[#This Row],[Type]]="Major",Table1[[#This Row],[Major Group]],G29)</f>
        <v>11-0000</v>
      </c>
      <c r="H30" s="2" t="str">
        <f>IF(Table1[[#This Row],[Major Group]]&lt;&gt;"","n/a",IF(Table1[[#This Row],[Minor Group]]&lt;&gt;"",Table1[[#This Row],[Minor Group]],H29))</f>
        <v>11-3000</v>
      </c>
      <c r="I30" s="2" t="str">
        <f>IF(Table1[[#This Row],[Major Group]]&lt;&gt;"","n/a",IF(Table1[[#This Row],[Minor Group]]&lt;&gt;"","n/a",IF(Table1[[#This Row],[Broad Group]]&lt;&gt;"",Table1[[#This Row],[Broad Group]],I29)))</f>
        <v>11-3060</v>
      </c>
      <c r="J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Occupation]],J29))))</f>
        <v>11-3061</v>
      </c>
      <c r="K30" s="2" t="str">
        <f>Table1[[#This Row],[Group Name]]</f>
        <v>Purchasing Managers</v>
      </c>
    </row>
    <row r="31" spans="2:11" ht="30" x14ac:dyDescent="0.25">
      <c r="C31" s="1" t="s">
        <v>50</v>
      </c>
      <c r="E31" s="1" t="s">
        <v>51</v>
      </c>
      <c r="F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1" s="2" t="str">
        <f>IF(Table1[[#This Row],[Type]]="Major",Table1[[#This Row],[Major Group]],G30)</f>
        <v>11-0000</v>
      </c>
      <c r="H31" s="2" t="str">
        <f>IF(Table1[[#This Row],[Major Group]]&lt;&gt;"","n/a",IF(Table1[[#This Row],[Minor Group]]&lt;&gt;"",Table1[[#This Row],[Minor Group]],H30))</f>
        <v>11-3000</v>
      </c>
      <c r="I31" s="2" t="str">
        <f>IF(Table1[[#This Row],[Major Group]]&lt;&gt;"","n/a",IF(Table1[[#This Row],[Minor Group]]&lt;&gt;"","n/a",IF(Table1[[#This Row],[Broad Group]]&lt;&gt;"",Table1[[#This Row],[Broad Group]],I30)))</f>
        <v>11-3070</v>
      </c>
      <c r="J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Occupation]],J30))))</f>
        <v>n/a</v>
      </c>
      <c r="K31" s="2" t="str">
        <f>Table1[[#This Row],[Group Name]]</f>
        <v>Transportation, Storage, and Distribution Managers</v>
      </c>
    </row>
    <row r="32" spans="2:11" ht="25.5" x14ac:dyDescent="0.25">
      <c r="D32" s="5" t="s">
        <v>52</v>
      </c>
      <c r="E32" s="5" t="s">
        <v>51</v>
      </c>
      <c r="F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" s="2" t="str">
        <f>IF(Table1[[#This Row],[Type]]="Major",Table1[[#This Row],[Major Group]],G31)</f>
        <v>11-0000</v>
      </c>
      <c r="H32" s="2" t="str">
        <f>IF(Table1[[#This Row],[Major Group]]&lt;&gt;"","n/a",IF(Table1[[#This Row],[Minor Group]]&lt;&gt;"",Table1[[#This Row],[Minor Group]],H31))</f>
        <v>11-3000</v>
      </c>
      <c r="I32" s="2" t="str">
        <f>IF(Table1[[#This Row],[Major Group]]&lt;&gt;"","n/a",IF(Table1[[#This Row],[Minor Group]]&lt;&gt;"","n/a",IF(Table1[[#This Row],[Broad Group]]&lt;&gt;"",Table1[[#This Row],[Broad Group]],I31)))</f>
        <v>11-3070</v>
      </c>
      <c r="J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Occupation]],J31))))</f>
        <v>11-3071</v>
      </c>
      <c r="K32" s="2" t="str">
        <f>Table1[[#This Row],[Group Name]]</f>
        <v>Transportation, Storage, and Distribution Managers</v>
      </c>
    </row>
    <row r="33" spans="2:11" ht="30" x14ac:dyDescent="0.25">
      <c r="C33" s="1" t="s">
        <v>53</v>
      </c>
      <c r="E33" s="1" t="s">
        <v>54</v>
      </c>
      <c r="F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3" s="2" t="str">
        <f>IF(Table1[[#This Row],[Type]]="Major",Table1[[#This Row],[Major Group]],G32)</f>
        <v>11-0000</v>
      </c>
      <c r="H33" s="2" t="str">
        <f>IF(Table1[[#This Row],[Major Group]]&lt;&gt;"","n/a",IF(Table1[[#This Row],[Minor Group]]&lt;&gt;"",Table1[[#This Row],[Minor Group]],H32))</f>
        <v>11-3000</v>
      </c>
      <c r="I33" s="2" t="str">
        <f>IF(Table1[[#This Row],[Major Group]]&lt;&gt;"","n/a",IF(Table1[[#This Row],[Minor Group]]&lt;&gt;"","n/a",IF(Table1[[#This Row],[Broad Group]]&lt;&gt;"",Table1[[#This Row],[Broad Group]],I32)))</f>
        <v>11-3110</v>
      </c>
      <c r="J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Occupation]],J32))))</f>
        <v>n/a</v>
      </c>
      <c r="K33" s="2" t="str">
        <f>Table1[[#This Row],[Group Name]]</f>
        <v>Compensation and Benefits Managers</v>
      </c>
    </row>
    <row r="34" spans="2:11" x14ac:dyDescent="0.25">
      <c r="D34" s="5" t="s">
        <v>55</v>
      </c>
      <c r="E34" s="5" t="s">
        <v>54</v>
      </c>
      <c r="F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4" s="2" t="str">
        <f>IF(Table1[[#This Row],[Type]]="Major",Table1[[#This Row],[Major Group]],G33)</f>
        <v>11-0000</v>
      </c>
      <c r="H34" s="2" t="str">
        <f>IF(Table1[[#This Row],[Major Group]]&lt;&gt;"","n/a",IF(Table1[[#This Row],[Minor Group]]&lt;&gt;"",Table1[[#This Row],[Minor Group]],H33))</f>
        <v>11-3000</v>
      </c>
      <c r="I34" s="2" t="str">
        <f>IF(Table1[[#This Row],[Major Group]]&lt;&gt;"","n/a",IF(Table1[[#This Row],[Minor Group]]&lt;&gt;"","n/a",IF(Table1[[#This Row],[Broad Group]]&lt;&gt;"",Table1[[#This Row],[Broad Group]],I33)))</f>
        <v>11-3110</v>
      </c>
      <c r="J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Occupation]],J33))))</f>
        <v>11-3111</v>
      </c>
      <c r="K34" s="2" t="str">
        <f>Table1[[#This Row],[Group Name]]</f>
        <v>Compensation and Benefits Managers</v>
      </c>
    </row>
    <row r="35" spans="2:11" x14ac:dyDescent="0.25">
      <c r="C35" s="1" t="s">
        <v>56</v>
      </c>
      <c r="E35" s="1" t="s">
        <v>57</v>
      </c>
      <c r="F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5" s="2" t="str">
        <f>IF(Table1[[#This Row],[Type]]="Major",Table1[[#This Row],[Major Group]],G34)</f>
        <v>11-0000</v>
      </c>
      <c r="H35" s="2" t="str">
        <f>IF(Table1[[#This Row],[Major Group]]&lt;&gt;"","n/a",IF(Table1[[#This Row],[Minor Group]]&lt;&gt;"",Table1[[#This Row],[Minor Group]],H34))</f>
        <v>11-3000</v>
      </c>
      <c r="I35" s="2" t="str">
        <f>IF(Table1[[#This Row],[Major Group]]&lt;&gt;"","n/a",IF(Table1[[#This Row],[Minor Group]]&lt;&gt;"","n/a",IF(Table1[[#This Row],[Broad Group]]&lt;&gt;"",Table1[[#This Row],[Broad Group]],I34)))</f>
        <v>11-3120</v>
      </c>
      <c r="J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Occupation]],J34))))</f>
        <v>n/a</v>
      </c>
      <c r="K35" s="2" t="str">
        <f>Table1[[#This Row],[Group Name]]</f>
        <v>Human Resources Managers</v>
      </c>
    </row>
    <row r="36" spans="2:11" x14ac:dyDescent="0.25">
      <c r="D36" s="5" t="s">
        <v>58</v>
      </c>
      <c r="E36" s="5" t="s">
        <v>57</v>
      </c>
      <c r="F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" s="2" t="str">
        <f>IF(Table1[[#This Row],[Type]]="Major",Table1[[#This Row],[Major Group]],G35)</f>
        <v>11-0000</v>
      </c>
      <c r="H36" s="2" t="str">
        <f>IF(Table1[[#This Row],[Major Group]]&lt;&gt;"","n/a",IF(Table1[[#This Row],[Minor Group]]&lt;&gt;"",Table1[[#This Row],[Minor Group]],H35))</f>
        <v>11-3000</v>
      </c>
      <c r="I36" s="2" t="str">
        <f>IF(Table1[[#This Row],[Major Group]]&lt;&gt;"","n/a",IF(Table1[[#This Row],[Minor Group]]&lt;&gt;"","n/a",IF(Table1[[#This Row],[Broad Group]]&lt;&gt;"",Table1[[#This Row],[Broad Group]],I35)))</f>
        <v>11-3120</v>
      </c>
      <c r="J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Occupation]],J35))))</f>
        <v>11-3121</v>
      </c>
      <c r="K36" s="2" t="str">
        <f>Table1[[#This Row],[Group Name]]</f>
        <v>Human Resources Managers</v>
      </c>
    </row>
    <row r="37" spans="2:11" ht="30" x14ac:dyDescent="0.25">
      <c r="C37" s="1" t="s">
        <v>59</v>
      </c>
      <c r="E37" s="1" t="s">
        <v>60</v>
      </c>
      <c r="F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7" s="2" t="str">
        <f>IF(Table1[[#This Row],[Type]]="Major",Table1[[#This Row],[Major Group]],G36)</f>
        <v>11-0000</v>
      </c>
      <c r="H37" s="2" t="str">
        <f>IF(Table1[[#This Row],[Major Group]]&lt;&gt;"","n/a",IF(Table1[[#This Row],[Minor Group]]&lt;&gt;"",Table1[[#This Row],[Minor Group]],H36))</f>
        <v>11-3000</v>
      </c>
      <c r="I37" s="2" t="str">
        <f>IF(Table1[[#This Row],[Major Group]]&lt;&gt;"","n/a",IF(Table1[[#This Row],[Minor Group]]&lt;&gt;"","n/a",IF(Table1[[#This Row],[Broad Group]]&lt;&gt;"",Table1[[#This Row],[Broad Group]],I36)))</f>
        <v>11-3130</v>
      </c>
      <c r="J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Occupation]],J36))))</f>
        <v>n/a</v>
      </c>
      <c r="K37" s="2" t="str">
        <f>Table1[[#This Row],[Group Name]]</f>
        <v>Training and Development Managers</v>
      </c>
    </row>
    <row r="38" spans="2:11" x14ac:dyDescent="0.25">
      <c r="D38" s="5" t="s">
        <v>61</v>
      </c>
      <c r="E38" s="5" t="s">
        <v>60</v>
      </c>
      <c r="F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" s="2" t="str">
        <f>IF(Table1[[#This Row],[Type]]="Major",Table1[[#This Row],[Major Group]],G37)</f>
        <v>11-0000</v>
      </c>
      <c r="H38" s="2" t="str">
        <f>IF(Table1[[#This Row],[Major Group]]&lt;&gt;"","n/a",IF(Table1[[#This Row],[Minor Group]]&lt;&gt;"",Table1[[#This Row],[Minor Group]],H37))</f>
        <v>11-3000</v>
      </c>
      <c r="I38" s="2" t="str">
        <f>IF(Table1[[#This Row],[Major Group]]&lt;&gt;"","n/a",IF(Table1[[#This Row],[Minor Group]]&lt;&gt;"","n/a",IF(Table1[[#This Row],[Broad Group]]&lt;&gt;"",Table1[[#This Row],[Broad Group]],I37)))</f>
        <v>11-3130</v>
      </c>
      <c r="J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Occupation]],J37))))</f>
        <v>11-3131</v>
      </c>
      <c r="K38" s="2" t="str">
        <f>Table1[[#This Row],[Group Name]]</f>
        <v>Training and Development Managers</v>
      </c>
    </row>
    <row r="39" spans="2:11" x14ac:dyDescent="0.25">
      <c r="B39" s="3" t="s">
        <v>62</v>
      </c>
      <c r="E39" s="3" t="s">
        <v>63</v>
      </c>
      <c r="F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9" s="2" t="str">
        <f>IF(Table1[[#This Row],[Type]]="Major",Table1[[#This Row],[Major Group]],G38)</f>
        <v>11-0000</v>
      </c>
      <c r="H39" s="2" t="str">
        <f>IF(Table1[[#This Row],[Major Group]]&lt;&gt;"","n/a",IF(Table1[[#This Row],[Minor Group]]&lt;&gt;"",Table1[[#This Row],[Minor Group]],H38))</f>
        <v>11-9000</v>
      </c>
      <c r="I39" s="2" t="str">
        <f>IF(Table1[[#This Row],[Major Group]]&lt;&gt;"","n/a",IF(Table1[[#This Row],[Minor Group]]&lt;&gt;"","n/a",IF(Table1[[#This Row],[Broad Group]]&lt;&gt;"",Table1[[#This Row],[Broad Group]],I38)))</f>
        <v>n/a</v>
      </c>
      <c r="J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Occupation]],J38))))</f>
        <v>n/a</v>
      </c>
      <c r="K39" s="2" t="str">
        <f>Table1[[#This Row],[Group Name]]</f>
        <v>Other Management Occupations</v>
      </c>
    </row>
    <row r="40" spans="2:11" ht="30" x14ac:dyDescent="0.25">
      <c r="C40" s="1" t="s">
        <v>64</v>
      </c>
      <c r="E40" s="1" t="s">
        <v>65</v>
      </c>
      <c r="F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0" s="2" t="str">
        <f>IF(Table1[[#This Row],[Type]]="Major",Table1[[#This Row],[Major Group]],G39)</f>
        <v>11-0000</v>
      </c>
      <c r="H40" s="2" t="str">
        <f>IF(Table1[[#This Row],[Major Group]]&lt;&gt;"","n/a",IF(Table1[[#This Row],[Minor Group]]&lt;&gt;"",Table1[[#This Row],[Minor Group]],H39))</f>
        <v>11-9000</v>
      </c>
      <c r="I40" s="2" t="str">
        <f>IF(Table1[[#This Row],[Major Group]]&lt;&gt;"","n/a",IF(Table1[[#This Row],[Minor Group]]&lt;&gt;"","n/a",IF(Table1[[#This Row],[Broad Group]]&lt;&gt;"",Table1[[#This Row],[Broad Group]],I39)))</f>
        <v>11-9010</v>
      </c>
      <c r="J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Occupation]],J39))))</f>
        <v>n/a</v>
      </c>
      <c r="K40" s="2" t="str">
        <f>Table1[[#This Row],[Group Name]]</f>
        <v>Farmers, Ranchers, and Other Agricultural Managers</v>
      </c>
    </row>
    <row r="41" spans="2:11" ht="25.5" x14ac:dyDescent="0.25">
      <c r="D41" s="5" t="s">
        <v>66</v>
      </c>
      <c r="E41" s="5" t="s">
        <v>65</v>
      </c>
      <c r="F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" s="2" t="str">
        <f>IF(Table1[[#This Row],[Type]]="Major",Table1[[#This Row],[Major Group]],G40)</f>
        <v>11-0000</v>
      </c>
      <c r="H41" s="2" t="str">
        <f>IF(Table1[[#This Row],[Major Group]]&lt;&gt;"","n/a",IF(Table1[[#This Row],[Minor Group]]&lt;&gt;"",Table1[[#This Row],[Minor Group]],H40))</f>
        <v>11-9000</v>
      </c>
      <c r="I41" s="2" t="str">
        <f>IF(Table1[[#This Row],[Major Group]]&lt;&gt;"","n/a",IF(Table1[[#This Row],[Minor Group]]&lt;&gt;"","n/a",IF(Table1[[#This Row],[Broad Group]]&lt;&gt;"",Table1[[#This Row],[Broad Group]],I40)))</f>
        <v>11-9010</v>
      </c>
      <c r="J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Occupation]],J40))))</f>
        <v>11-9013</v>
      </c>
      <c r="K41" s="2" t="str">
        <f>Table1[[#This Row],[Group Name]]</f>
        <v>Farmers, Ranchers, and Other Agricultural Managers</v>
      </c>
    </row>
    <row r="42" spans="2:11" x14ac:dyDescent="0.25">
      <c r="C42" s="1" t="s">
        <v>67</v>
      </c>
      <c r="E42" s="1" t="s">
        <v>68</v>
      </c>
      <c r="F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2" s="2" t="str">
        <f>IF(Table1[[#This Row],[Type]]="Major",Table1[[#This Row],[Major Group]],G41)</f>
        <v>11-0000</v>
      </c>
      <c r="H42" s="2" t="str">
        <f>IF(Table1[[#This Row],[Major Group]]&lt;&gt;"","n/a",IF(Table1[[#This Row],[Minor Group]]&lt;&gt;"",Table1[[#This Row],[Minor Group]],H41))</f>
        <v>11-9000</v>
      </c>
      <c r="I42" s="2" t="str">
        <f>IF(Table1[[#This Row],[Major Group]]&lt;&gt;"","n/a",IF(Table1[[#This Row],[Minor Group]]&lt;&gt;"","n/a",IF(Table1[[#This Row],[Broad Group]]&lt;&gt;"",Table1[[#This Row],[Broad Group]],I41)))</f>
        <v>11-9020</v>
      </c>
      <c r="J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Occupation]],J41))))</f>
        <v>n/a</v>
      </c>
      <c r="K42" s="2" t="str">
        <f>Table1[[#This Row],[Group Name]]</f>
        <v>Construction Managers</v>
      </c>
    </row>
    <row r="43" spans="2:11" x14ac:dyDescent="0.25">
      <c r="D43" s="5" t="s">
        <v>69</v>
      </c>
      <c r="E43" s="5" t="s">
        <v>68</v>
      </c>
      <c r="F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3" s="2" t="str">
        <f>IF(Table1[[#This Row],[Type]]="Major",Table1[[#This Row],[Major Group]],G42)</f>
        <v>11-0000</v>
      </c>
      <c r="H43" s="2" t="str">
        <f>IF(Table1[[#This Row],[Major Group]]&lt;&gt;"","n/a",IF(Table1[[#This Row],[Minor Group]]&lt;&gt;"",Table1[[#This Row],[Minor Group]],H42))</f>
        <v>11-9000</v>
      </c>
      <c r="I43" s="2" t="str">
        <f>IF(Table1[[#This Row],[Major Group]]&lt;&gt;"","n/a",IF(Table1[[#This Row],[Minor Group]]&lt;&gt;"","n/a",IF(Table1[[#This Row],[Broad Group]]&lt;&gt;"",Table1[[#This Row],[Broad Group]],I42)))</f>
        <v>11-9020</v>
      </c>
      <c r="J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Occupation]],J42))))</f>
        <v>11-9021</v>
      </c>
      <c r="K43" s="2" t="str">
        <f>Table1[[#This Row],[Group Name]]</f>
        <v>Construction Managers</v>
      </c>
    </row>
    <row r="44" spans="2:11" ht="30" x14ac:dyDescent="0.25">
      <c r="C44" s="1" t="s">
        <v>70</v>
      </c>
      <c r="E44" s="1" t="s">
        <v>71</v>
      </c>
      <c r="F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4" s="2" t="str">
        <f>IF(Table1[[#This Row],[Type]]="Major",Table1[[#This Row],[Major Group]],G43)</f>
        <v>11-0000</v>
      </c>
      <c r="H44" s="2" t="str">
        <f>IF(Table1[[#This Row],[Major Group]]&lt;&gt;"","n/a",IF(Table1[[#This Row],[Minor Group]]&lt;&gt;"",Table1[[#This Row],[Minor Group]],H43))</f>
        <v>11-9000</v>
      </c>
      <c r="I44" s="2" t="str">
        <f>IF(Table1[[#This Row],[Major Group]]&lt;&gt;"","n/a",IF(Table1[[#This Row],[Minor Group]]&lt;&gt;"","n/a",IF(Table1[[#This Row],[Broad Group]]&lt;&gt;"",Table1[[#This Row],[Broad Group]],I43)))</f>
        <v>11-9030</v>
      </c>
      <c r="J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Occupation]],J43))))</f>
        <v>n/a</v>
      </c>
      <c r="K44" s="2" t="str">
        <f>Table1[[#This Row],[Group Name]]</f>
        <v>Education and Childcare Administrators</v>
      </c>
    </row>
    <row r="45" spans="2:11" ht="38.25" x14ac:dyDescent="0.25">
      <c r="D45" s="5" t="s">
        <v>72</v>
      </c>
      <c r="E45" s="5" t="s">
        <v>73</v>
      </c>
      <c r="F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5" s="2" t="str">
        <f>IF(Table1[[#This Row],[Type]]="Major",Table1[[#This Row],[Major Group]],G44)</f>
        <v>11-0000</v>
      </c>
      <c r="H45" s="2" t="str">
        <f>IF(Table1[[#This Row],[Major Group]]&lt;&gt;"","n/a",IF(Table1[[#This Row],[Minor Group]]&lt;&gt;"",Table1[[#This Row],[Minor Group]],H44))</f>
        <v>11-9000</v>
      </c>
      <c r="I45" s="2" t="str">
        <f>IF(Table1[[#This Row],[Major Group]]&lt;&gt;"","n/a",IF(Table1[[#This Row],[Minor Group]]&lt;&gt;"","n/a",IF(Table1[[#This Row],[Broad Group]]&lt;&gt;"",Table1[[#This Row],[Broad Group]],I44)))</f>
        <v>11-9030</v>
      </c>
      <c r="J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Occupation]],J44))))</f>
        <v>11-9031</v>
      </c>
      <c r="K45" s="2" t="str">
        <f>Table1[[#This Row],[Group Name]]</f>
        <v>Education and Childcare Administrators, Preschool and Daycare</v>
      </c>
    </row>
    <row r="46" spans="2:11" ht="25.5" x14ac:dyDescent="0.25">
      <c r="D46" s="5" t="s">
        <v>74</v>
      </c>
      <c r="E46" s="5" t="s">
        <v>75</v>
      </c>
      <c r="F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" s="2" t="str">
        <f>IF(Table1[[#This Row],[Type]]="Major",Table1[[#This Row],[Major Group]],G45)</f>
        <v>11-0000</v>
      </c>
      <c r="H46" s="2" t="str">
        <f>IF(Table1[[#This Row],[Major Group]]&lt;&gt;"","n/a",IF(Table1[[#This Row],[Minor Group]]&lt;&gt;"",Table1[[#This Row],[Minor Group]],H45))</f>
        <v>11-9000</v>
      </c>
      <c r="I46" s="2" t="str">
        <f>IF(Table1[[#This Row],[Major Group]]&lt;&gt;"","n/a",IF(Table1[[#This Row],[Minor Group]]&lt;&gt;"","n/a",IF(Table1[[#This Row],[Broad Group]]&lt;&gt;"",Table1[[#This Row],[Broad Group]],I45)))</f>
        <v>11-9030</v>
      </c>
      <c r="J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Occupation]],J45))))</f>
        <v>11-9032</v>
      </c>
      <c r="K46" s="2" t="str">
        <f>Table1[[#This Row],[Group Name]]</f>
        <v>Education Administrators, Kindergarten through Secondary</v>
      </c>
    </row>
    <row r="47" spans="2:11" ht="25.5" x14ac:dyDescent="0.25">
      <c r="D47" s="5" t="s">
        <v>76</v>
      </c>
      <c r="E47" s="5" t="s">
        <v>77</v>
      </c>
      <c r="F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7" s="2" t="str">
        <f>IF(Table1[[#This Row],[Type]]="Major",Table1[[#This Row],[Major Group]],G46)</f>
        <v>11-0000</v>
      </c>
      <c r="H47" s="2" t="str">
        <f>IF(Table1[[#This Row],[Major Group]]&lt;&gt;"","n/a",IF(Table1[[#This Row],[Minor Group]]&lt;&gt;"",Table1[[#This Row],[Minor Group]],H46))</f>
        <v>11-9000</v>
      </c>
      <c r="I47" s="2" t="str">
        <f>IF(Table1[[#This Row],[Major Group]]&lt;&gt;"","n/a",IF(Table1[[#This Row],[Minor Group]]&lt;&gt;"","n/a",IF(Table1[[#This Row],[Broad Group]]&lt;&gt;"",Table1[[#This Row],[Broad Group]],I46)))</f>
        <v>11-9030</v>
      </c>
      <c r="J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Occupation]],J46))))</f>
        <v>11-9033</v>
      </c>
      <c r="K47" s="2" t="str">
        <f>Table1[[#This Row],[Group Name]]</f>
        <v>Education Administrators, Postsecondary</v>
      </c>
    </row>
    <row r="48" spans="2:11" x14ac:dyDescent="0.25">
      <c r="D48" s="5" t="s">
        <v>78</v>
      </c>
      <c r="E48" s="5" t="s">
        <v>79</v>
      </c>
      <c r="F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8" s="2" t="str">
        <f>IF(Table1[[#This Row],[Type]]="Major",Table1[[#This Row],[Major Group]],G47)</f>
        <v>11-0000</v>
      </c>
      <c r="H48" s="2" t="str">
        <f>IF(Table1[[#This Row],[Major Group]]&lt;&gt;"","n/a",IF(Table1[[#This Row],[Minor Group]]&lt;&gt;"",Table1[[#This Row],[Minor Group]],H47))</f>
        <v>11-9000</v>
      </c>
      <c r="I48" s="2" t="str">
        <f>IF(Table1[[#This Row],[Major Group]]&lt;&gt;"","n/a",IF(Table1[[#This Row],[Minor Group]]&lt;&gt;"","n/a",IF(Table1[[#This Row],[Broad Group]]&lt;&gt;"",Table1[[#This Row],[Broad Group]],I47)))</f>
        <v>11-9030</v>
      </c>
      <c r="J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Occupation]],J47))))</f>
        <v>11-9039</v>
      </c>
      <c r="K48" s="2" t="str">
        <f>Table1[[#This Row],[Group Name]]</f>
        <v>Education Administrators, All Other</v>
      </c>
    </row>
    <row r="49" spans="3:11" ht="30" x14ac:dyDescent="0.25">
      <c r="C49" s="1" t="s">
        <v>80</v>
      </c>
      <c r="E49" s="1" t="s">
        <v>81</v>
      </c>
      <c r="F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9" s="2" t="str">
        <f>IF(Table1[[#This Row],[Type]]="Major",Table1[[#This Row],[Major Group]],G48)</f>
        <v>11-0000</v>
      </c>
      <c r="H49" s="2" t="str">
        <f>IF(Table1[[#This Row],[Major Group]]&lt;&gt;"","n/a",IF(Table1[[#This Row],[Minor Group]]&lt;&gt;"",Table1[[#This Row],[Minor Group]],H48))</f>
        <v>11-9000</v>
      </c>
      <c r="I49" s="2" t="str">
        <f>IF(Table1[[#This Row],[Major Group]]&lt;&gt;"","n/a",IF(Table1[[#This Row],[Minor Group]]&lt;&gt;"","n/a",IF(Table1[[#This Row],[Broad Group]]&lt;&gt;"",Table1[[#This Row],[Broad Group]],I48)))</f>
        <v>11-9040</v>
      </c>
      <c r="J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Occupation]],J48))))</f>
        <v>n/a</v>
      </c>
      <c r="K49" s="2" t="str">
        <f>Table1[[#This Row],[Group Name]]</f>
        <v>Architectural and Engineering Managers</v>
      </c>
    </row>
    <row r="50" spans="3:11" ht="25.5" x14ac:dyDescent="0.25">
      <c r="D50" s="5" t="s">
        <v>82</v>
      </c>
      <c r="E50" s="5" t="s">
        <v>81</v>
      </c>
      <c r="F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" s="2" t="str">
        <f>IF(Table1[[#This Row],[Type]]="Major",Table1[[#This Row],[Major Group]],G49)</f>
        <v>11-0000</v>
      </c>
      <c r="H50" s="2" t="str">
        <f>IF(Table1[[#This Row],[Major Group]]&lt;&gt;"","n/a",IF(Table1[[#This Row],[Minor Group]]&lt;&gt;"",Table1[[#This Row],[Minor Group]],H49))</f>
        <v>11-9000</v>
      </c>
      <c r="I50" s="2" t="str">
        <f>IF(Table1[[#This Row],[Major Group]]&lt;&gt;"","n/a",IF(Table1[[#This Row],[Minor Group]]&lt;&gt;"","n/a",IF(Table1[[#This Row],[Broad Group]]&lt;&gt;"",Table1[[#This Row],[Broad Group]],I49)))</f>
        <v>11-9040</v>
      </c>
      <c r="J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Occupation]],J49))))</f>
        <v>11-9041</v>
      </c>
      <c r="K50" s="2" t="str">
        <f>Table1[[#This Row],[Group Name]]</f>
        <v>Architectural and Engineering Managers</v>
      </c>
    </row>
    <row r="51" spans="3:11" x14ac:dyDescent="0.25">
      <c r="C51" s="1" t="s">
        <v>83</v>
      </c>
      <c r="E51" s="1" t="s">
        <v>84</v>
      </c>
      <c r="F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1" s="2" t="str">
        <f>IF(Table1[[#This Row],[Type]]="Major",Table1[[#This Row],[Major Group]],G50)</f>
        <v>11-0000</v>
      </c>
      <c r="H51" s="2" t="str">
        <f>IF(Table1[[#This Row],[Major Group]]&lt;&gt;"","n/a",IF(Table1[[#This Row],[Minor Group]]&lt;&gt;"",Table1[[#This Row],[Minor Group]],H50))</f>
        <v>11-9000</v>
      </c>
      <c r="I51" s="2" t="str">
        <f>IF(Table1[[#This Row],[Major Group]]&lt;&gt;"","n/a",IF(Table1[[#This Row],[Minor Group]]&lt;&gt;"","n/a",IF(Table1[[#This Row],[Broad Group]]&lt;&gt;"",Table1[[#This Row],[Broad Group]],I50)))</f>
        <v>11-9050</v>
      </c>
      <c r="J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Occupation]],J50))))</f>
        <v>n/a</v>
      </c>
      <c r="K51" s="2" t="str">
        <f>Table1[[#This Row],[Group Name]]</f>
        <v>Food Service Managers</v>
      </c>
    </row>
    <row r="52" spans="3:11" x14ac:dyDescent="0.25">
      <c r="D52" s="5" t="s">
        <v>85</v>
      </c>
      <c r="E52" s="5" t="s">
        <v>84</v>
      </c>
      <c r="F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" s="2" t="str">
        <f>IF(Table1[[#This Row],[Type]]="Major",Table1[[#This Row],[Major Group]],G51)</f>
        <v>11-0000</v>
      </c>
      <c r="H52" s="2" t="str">
        <f>IF(Table1[[#This Row],[Major Group]]&lt;&gt;"","n/a",IF(Table1[[#This Row],[Minor Group]]&lt;&gt;"",Table1[[#This Row],[Minor Group]],H51))</f>
        <v>11-9000</v>
      </c>
      <c r="I52" s="2" t="str">
        <f>IF(Table1[[#This Row],[Major Group]]&lt;&gt;"","n/a",IF(Table1[[#This Row],[Minor Group]]&lt;&gt;"","n/a",IF(Table1[[#This Row],[Broad Group]]&lt;&gt;"",Table1[[#This Row],[Broad Group]],I51)))</f>
        <v>11-9050</v>
      </c>
      <c r="J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Occupation]],J51))))</f>
        <v>11-9051</v>
      </c>
      <c r="K52" s="2" t="str">
        <f>Table1[[#This Row],[Group Name]]</f>
        <v>Food Service Managers</v>
      </c>
    </row>
    <row r="53" spans="3:11" ht="30" x14ac:dyDescent="0.25">
      <c r="C53" s="1" t="s">
        <v>86</v>
      </c>
      <c r="E53" s="1" t="s">
        <v>87</v>
      </c>
      <c r="F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3" s="2" t="str">
        <f>IF(Table1[[#This Row],[Type]]="Major",Table1[[#This Row],[Major Group]],G52)</f>
        <v>11-0000</v>
      </c>
      <c r="H53" s="2" t="str">
        <f>IF(Table1[[#This Row],[Major Group]]&lt;&gt;"","n/a",IF(Table1[[#This Row],[Minor Group]]&lt;&gt;"",Table1[[#This Row],[Minor Group]],H52))</f>
        <v>11-9000</v>
      </c>
      <c r="I53" s="2" t="str">
        <f>IF(Table1[[#This Row],[Major Group]]&lt;&gt;"","n/a",IF(Table1[[#This Row],[Minor Group]]&lt;&gt;"","n/a",IF(Table1[[#This Row],[Broad Group]]&lt;&gt;"",Table1[[#This Row],[Broad Group]],I52)))</f>
        <v>11-9070</v>
      </c>
      <c r="J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Occupation]],J52))))</f>
        <v>n/a</v>
      </c>
      <c r="K53" s="2" t="str">
        <f>Table1[[#This Row],[Group Name]]</f>
        <v>Entertainment and Recreation Managers</v>
      </c>
    </row>
    <row r="54" spans="3:11" x14ac:dyDescent="0.25">
      <c r="D54" s="5" t="s">
        <v>88</v>
      </c>
      <c r="E54" s="5" t="s">
        <v>89</v>
      </c>
      <c r="F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" s="2" t="str">
        <f>IF(Table1[[#This Row],[Type]]="Major",Table1[[#This Row],[Major Group]],G53)</f>
        <v>11-0000</v>
      </c>
      <c r="H54" s="2" t="str">
        <f>IF(Table1[[#This Row],[Major Group]]&lt;&gt;"","n/a",IF(Table1[[#This Row],[Minor Group]]&lt;&gt;"",Table1[[#This Row],[Minor Group]],H53))</f>
        <v>11-9000</v>
      </c>
      <c r="I54" s="2" t="str">
        <f>IF(Table1[[#This Row],[Major Group]]&lt;&gt;"","n/a",IF(Table1[[#This Row],[Minor Group]]&lt;&gt;"","n/a",IF(Table1[[#This Row],[Broad Group]]&lt;&gt;"",Table1[[#This Row],[Broad Group]],I53)))</f>
        <v>11-9070</v>
      </c>
      <c r="J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Occupation]],J53))))</f>
        <v>11-9071</v>
      </c>
      <c r="K54" s="2" t="str">
        <f>Table1[[#This Row],[Group Name]]</f>
        <v>Gambling Managers</v>
      </c>
    </row>
    <row r="55" spans="3:11" ht="25.5" x14ac:dyDescent="0.25">
      <c r="D55" s="5" t="s">
        <v>90</v>
      </c>
      <c r="E55" s="5" t="s">
        <v>91</v>
      </c>
      <c r="F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5" s="2" t="str">
        <f>IF(Table1[[#This Row],[Type]]="Major",Table1[[#This Row],[Major Group]],G54)</f>
        <v>11-0000</v>
      </c>
      <c r="H55" s="2" t="str">
        <f>IF(Table1[[#This Row],[Major Group]]&lt;&gt;"","n/a",IF(Table1[[#This Row],[Minor Group]]&lt;&gt;"",Table1[[#This Row],[Minor Group]],H54))</f>
        <v>11-9000</v>
      </c>
      <c r="I55" s="2" t="str">
        <f>IF(Table1[[#This Row],[Major Group]]&lt;&gt;"","n/a",IF(Table1[[#This Row],[Minor Group]]&lt;&gt;"","n/a",IF(Table1[[#This Row],[Broad Group]]&lt;&gt;"",Table1[[#This Row],[Broad Group]],I54)))</f>
        <v>11-9070</v>
      </c>
      <c r="J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Occupation]],J54))))</f>
        <v>11-9072</v>
      </c>
      <c r="K55" s="2" t="str">
        <f>Table1[[#This Row],[Group Name]]</f>
        <v>Entertainment and Recreation Managers, Except Gambling</v>
      </c>
    </row>
    <row r="56" spans="3:11" x14ac:dyDescent="0.25">
      <c r="C56" s="1" t="s">
        <v>92</v>
      </c>
      <c r="E56" s="1" t="s">
        <v>93</v>
      </c>
      <c r="F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6" s="2" t="str">
        <f>IF(Table1[[#This Row],[Type]]="Major",Table1[[#This Row],[Major Group]],G55)</f>
        <v>11-0000</v>
      </c>
      <c r="H56" s="2" t="str">
        <f>IF(Table1[[#This Row],[Major Group]]&lt;&gt;"","n/a",IF(Table1[[#This Row],[Minor Group]]&lt;&gt;"",Table1[[#This Row],[Minor Group]],H55))</f>
        <v>11-9000</v>
      </c>
      <c r="I56" s="2" t="str">
        <f>IF(Table1[[#This Row],[Major Group]]&lt;&gt;"","n/a",IF(Table1[[#This Row],[Minor Group]]&lt;&gt;"","n/a",IF(Table1[[#This Row],[Broad Group]]&lt;&gt;"",Table1[[#This Row],[Broad Group]],I55)))</f>
        <v>11-9080</v>
      </c>
      <c r="J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Occupation]],J55))))</f>
        <v>n/a</v>
      </c>
      <c r="K56" s="2" t="str">
        <f>Table1[[#This Row],[Group Name]]</f>
        <v>Lodging Managers</v>
      </c>
    </row>
    <row r="57" spans="3:11" x14ac:dyDescent="0.25">
      <c r="D57" s="5" t="s">
        <v>94</v>
      </c>
      <c r="E57" s="5" t="s">
        <v>93</v>
      </c>
      <c r="F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" s="2" t="str">
        <f>IF(Table1[[#This Row],[Type]]="Major",Table1[[#This Row],[Major Group]],G56)</f>
        <v>11-0000</v>
      </c>
      <c r="H57" s="2" t="str">
        <f>IF(Table1[[#This Row],[Major Group]]&lt;&gt;"","n/a",IF(Table1[[#This Row],[Minor Group]]&lt;&gt;"",Table1[[#This Row],[Minor Group]],H56))</f>
        <v>11-9000</v>
      </c>
      <c r="I57" s="2" t="str">
        <f>IF(Table1[[#This Row],[Major Group]]&lt;&gt;"","n/a",IF(Table1[[#This Row],[Minor Group]]&lt;&gt;"","n/a",IF(Table1[[#This Row],[Broad Group]]&lt;&gt;"",Table1[[#This Row],[Broad Group]],I56)))</f>
        <v>11-9080</v>
      </c>
      <c r="J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Occupation]],J56))))</f>
        <v>11-9081</v>
      </c>
      <c r="K57" s="2" t="str">
        <f>Table1[[#This Row],[Group Name]]</f>
        <v>Lodging Managers</v>
      </c>
    </row>
    <row r="58" spans="3:11" ht="30" x14ac:dyDescent="0.25">
      <c r="C58" s="1" t="s">
        <v>95</v>
      </c>
      <c r="E58" s="1" t="s">
        <v>96</v>
      </c>
      <c r="F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8" s="2" t="str">
        <f>IF(Table1[[#This Row],[Type]]="Major",Table1[[#This Row],[Major Group]],G57)</f>
        <v>11-0000</v>
      </c>
      <c r="H58" s="2" t="str">
        <f>IF(Table1[[#This Row],[Major Group]]&lt;&gt;"","n/a",IF(Table1[[#This Row],[Minor Group]]&lt;&gt;"",Table1[[#This Row],[Minor Group]],H57))</f>
        <v>11-9000</v>
      </c>
      <c r="I58" s="2" t="str">
        <f>IF(Table1[[#This Row],[Major Group]]&lt;&gt;"","n/a",IF(Table1[[#This Row],[Minor Group]]&lt;&gt;"","n/a",IF(Table1[[#This Row],[Broad Group]]&lt;&gt;"",Table1[[#This Row],[Broad Group]],I57)))</f>
        <v>11-9110</v>
      </c>
      <c r="J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Occupation]],J57))))</f>
        <v>n/a</v>
      </c>
      <c r="K58" s="2" t="str">
        <f>Table1[[#This Row],[Group Name]]</f>
        <v>Medical and Health Services Managers</v>
      </c>
    </row>
    <row r="59" spans="3:11" ht="25.5" x14ac:dyDescent="0.25">
      <c r="D59" s="5" t="s">
        <v>97</v>
      </c>
      <c r="E59" s="5" t="s">
        <v>96</v>
      </c>
      <c r="F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" s="2" t="str">
        <f>IF(Table1[[#This Row],[Type]]="Major",Table1[[#This Row],[Major Group]],G58)</f>
        <v>11-0000</v>
      </c>
      <c r="H59" s="2" t="str">
        <f>IF(Table1[[#This Row],[Major Group]]&lt;&gt;"","n/a",IF(Table1[[#This Row],[Minor Group]]&lt;&gt;"",Table1[[#This Row],[Minor Group]],H58))</f>
        <v>11-9000</v>
      </c>
      <c r="I59" s="2" t="str">
        <f>IF(Table1[[#This Row],[Major Group]]&lt;&gt;"","n/a",IF(Table1[[#This Row],[Minor Group]]&lt;&gt;"","n/a",IF(Table1[[#This Row],[Broad Group]]&lt;&gt;"",Table1[[#This Row],[Broad Group]],I58)))</f>
        <v>11-9110</v>
      </c>
      <c r="J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Occupation]],J58))))</f>
        <v>11-9111</v>
      </c>
      <c r="K59" s="2" t="str">
        <f>Table1[[#This Row],[Group Name]]</f>
        <v>Medical and Health Services Managers</v>
      </c>
    </row>
    <row r="60" spans="3:11" x14ac:dyDescent="0.25">
      <c r="C60" s="1" t="s">
        <v>98</v>
      </c>
      <c r="E60" s="1" t="s">
        <v>99</v>
      </c>
      <c r="F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0" s="2" t="str">
        <f>IF(Table1[[#This Row],[Type]]="Major",Table1[[#This Row],[Major Group]],G59)</f>
        <v>11-0000</v>
      </c>
      <c r="H60" s="2" t="str">
        <f>IF(Table1[[#This Row],[Major Group]]&lt;&gt;"","n/a",IF(Table1[[#This Row],[Minor Group]]&lt;&gt;"",Table1[[#This Row],[Minor Group]],H59))</f>
        <v>11-9000</v>
      </c>
      <c r="I60" s="2" t="str">
        <f>IF(Table1[[#This Row],[Major Group]]&lt;&gt;"","n/a",IF(Table1[[#This Row],[Minor Group]]&lt;&gt;"","n/a",IF(Table1[[#This Row],[Broad Group]]&lt;&gt;"",Table1[[#This Row],[Broad Group]],I59)))</f>
        <v>11-9120</v>
      </c>
      <c r="J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Occupation]],J59))))</f>
        <v>n/a</v>
      </c>
      <c r="K60" s="2" t="str">
        <f>Table1[[#This Row],[Group Name]]</f>
        <v>Natural Sciences Managers</v>
      </c>
    </row>
    <row r="61" spans="3:11" x14ac:dyDescent="0.25">
      <c r="D61" s="5" t="s">
        <v>100</v>
      </c>
      <c r="E61" s="5" t="s">
        <v>99</v>
      </c>
      <c r="F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1" s="2" t="str">
        <f>IF(Table1[[#This Row],[Type]]="Major",Table1[[#This Row],[Major Group]],G60)</f>
        <v>11-0000</v>
      </c>
      <c r="H61" s="2" t="str">
        <f>IF(Table1[[#This Row],[Major Group]]&lt;&gt;"","n/a",IF(Table1[[#This Row],[Minor Group]]&lt;&gt;"",Table1[[#This Row],[Minor Group]],H60))</f>
        <v>11-9000</v>
      </c>
      <c r="I61" s="2" t="str">
        <f>IF(Table1[[#This Row],[Major Group]]&lt;&gt;"","n/a",IF(Table1[[#This Row],[Minor Group]]&lt;&gt;"","n/a",IF(Table1[[#This Row],[Broad Group]]&lt;&gt;"",Table1[[#This Row],[Broad Group]],I60)))</f>
        <v>11-9120</v>
      </c>
      <c r="J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Occupation]],J60))))</f>
        <v>11-9121</v>
      </c>
      <c r="K61" s="2" t="str">
        <f>Table1[[#This Row],[Group Name]]</f>
        <v>Natural Sciences Managers</v>
      </c>
    </row>
    <row r="62" spans="3:11" ht="30" x14ac:dyDescent="0.25">
      <c r="C62" s="1" t="s">
        <v>101</v>
      </c>
      <c r="E62" s="1" t="s">
        <v>102</v>
      </c>
      <c r="F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2" s="2" t="str">
        <f>IF(Table1[[#This Row],[Type]]="Major",Table1[[#This Row],[Major Group]],G61)</f>
        <v>11-0000</v>
      </c>
      <c r="H62" s="2" t="str">
        <f>IF(Table1[[#This Row],[Major Group]]&lt;&gt;"","n/a",IF(Table1[[#This Row],[Minor Group]]&lt;&gt;"",Table1[[#This Row],[Minor Group]],H61))</f>
        <v>11-9000</v>
      </c>
      <c r="I62" s="2" t="str">
        <f>IF(Table1[[#This Row],[Major Group]]&lt;&gt;"","n/a",IF(Table1[[#This Row],[Minor Group]]&lt;&gt;"","n/a",IF(Table1[[#This Row],[Broad Group]]&lt;&gt;"",Table1[[#This Row],[Broad Group]],I61)))</f>
        <v>11-9130</v>
      </c>
      <c r="J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Occupation]],J61))))</f>
        <v>n/a</v>
      </c>
      <c r="K62" s="2" t="str">
        <f>Table1[[#This Row],[Group Name]]</f>
        <v>Postmasters and Mail Superintendents</v>
      </c>
    </row>
    <row r="63" spans="3:11" x14ac:dyDescent="0.25">
      <c r="D63" s="5" t="s">
        <v>103</v>
      </c>
      <c r="E63" s="5" t="s">
        <v>102</v>
      </c>
      <c r="F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3" s="2" t="str">
        <f>IF(Table1[[#This Row],[Type]]="Major",Table1[[#This Row],[Major Group]],G62)</f>
        <v>11-0000</v>
      </c>
      <c r="H63" s="2" t="str">
        <f>IF(Table1[[#This Row],[Major Group]]&lt;&gt;"","n/a",IF(Table1[[#This Row],[Minor Group]]&lt;&gt;"",Table1[[#This Row],[Minor Group]],H62))</f>
        <v>11-9000</v>
      </c>
      <c r="I63" s="2" t="str">
        <f>IF(Table1[[#This Row],[Major Group]]&lt;&gt;"","n/a",IF(Table1[[#This Row],[Minor Group]]&lt;&gt;"","n/a",IF(Table1[[#This Row],[Broad Group]]&lt;&gt;"",Table1[[#This Row],[Broad Group]],I62)))</f>
        <v>11-9130</v>
      </c>
      <c r="J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Occupation]],J62))))</f>
        <v>11-9131</v>
      </c>
      <c r="K63" s="2" t="str">
        <f>Table1[[#This Row],[Group Name]]</f>
        <v>Postmasters and Mail Superintendents</v>
      </c>
    </row>
    <row r="64" spans="3:11" ht="30" x14ac:dyDescent="0.25">
      <c r="C64" s="1" t="s">
        <v>104</v>
      </c>
      <c r="E64" s="1" t="s">
        <v>105</v>
      </c>
      <c r="F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4" s="2" t="str">
        <f>IF(Table1[[#This Row],[Type]]="Major",Table1[[#This Row],[Major Group]],G63)</f>
        <v>11-0000</v>
      </c>
      <c r="H64" s="2" t="str">
        <f>IF(Table1[[#This Row],[Major Group]]&lt;&gt;"","n/a",IF(Table1[[#This Row],[Minor Group]]&lt;&gt;"",Table1[[#This Row],[Minor Group]],H63))</f>
        <v>11-9000</v>
      </c>
      <c r="I64" s="2" t="str">
        <f>IF(Table1[[#This Row],[Major Group]]&lt;&gt;"","n/a",IF(Table1[[#This Row],[Minor Group]]&lt;&gt;"","n/a",IF(Table1[[#This Row],[Broad Group]]&lt;&gt;"",Table1[[#This Row],[Broad Group]],I63)))</f>
        <v>11-9140</v>
      </c>
      <c r="J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Occupation]],J63))))</f>
        <v>n/a</v>
      </c>
      <c r="K64" s="2" t="str">
        <f>Table1[[#This Row],[Group Name]]</f>
        <v>Property, Real Estate, and Community Association Managers</v>
      </c>
    </row>
    <row r="65" spans="1:11" ht="25.5" x14ac:dyDescent="0.25">
      <c r="D65" s="5" t="s">
        <v>106</v>
      </c>
      <c r="E65" s="5" t="s">
        <v>105</v>
      </c>
      <c r="F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5" s="2" t="str">
        <f>IF(Table1[[#This Row],[Type]]="Major",Table1[[#This Row],[Major Group]],G64)</f>
        <v>11-0000</v>
      </c>
      <c r="H65" s="2" t="str">
        <f>IF(Table1[[#This Row],[Major Group]]&lt;&gt;"","n/a",IF(Table1[[#This Row],[Minor Group]]&lt;&gt;"",Table1[[#This Row],[Minor Group]],H64))</f>
        <v>11-9000</v>
      </c>
      <c r="I65" s="2" t="str">
        <f>IF(Table1[[#This Row],[Major Group]]&lt;&gt;"","n/a",IF(Table1[[#This Row],[Minor Group]]&lt;&gt;"","n/a",IF(Table1[[#This Row],[Broad Group]]&lt;&gt;"",Table1[[#This Row],[Broad Group]],I64)))</f>
        <v>11-9140</v>
      </c>
      <c r="J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Occupation]],J64))))</f>
        <v>11-9141</v>
      </c>
      <c r="K65" s="2" t="str">
        <f>Table1[[#This Row],[Group Name]]</f>
        <v>Property, Real Estate, and Community Association Managers</v>
      </c>
    </row>
    <row r="66" spans="1:11" ht="30" x14ac:dyDescent="0.25">
      <c r="C66" s="1" t="s">
        <v>107</v>
      </c>
      <c r="E66" s="1" t="s">
        <v>108</v>
      </c>
      <c r="F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6" s="2" t="str">
        <f>IF(Table1[[#This Row],[Type]]="Major",Table1[[#This Row],[Major Group]],G65)</f>
        <v>11-0000</v>
      </c>
      <c r="H66" s="2" t="str">
        <f>IF(Table1[[#This Row],[Major Group]]&lt;&gt;"","n/a",IF(Table1[[#This Row],[Minor Group]]&lt;&gt;"",Table1[[#This Row],[Minor Group]],H65))</f>
        <v>11-9000</v>
      </c>
      <c r="I66" s="2" t="str">
        <f>IF(Table1[[#This Row],[Major Group]]&lt;&gt;"","n/a",IF(Table1[[#This Row],[Minor Group]]&lt;&gt;"","n/a",IF(Table1[[#This Row],[Broad Group]]&lt;&gt;"",Table1[[#This Row],[Broad Group]],I65)))</f>
        <v>11-9150</v>
      </c>
      <c r="J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Occupation]],J65))))</f>
        <v>n/a</v>
      </c>
      <c r="K66" s="2" t="str">
        <f>Table1[[#This Row],[Group Name]]</f>
        <v>Social and Community Service Managers</v>
      </c>
    </row>
    <row r="67" spans="1:11" ht="25.5" x14ac:dyDescent="0.25">
      <c r="D67" s="5" t="s">
        <v>109</v>
      </c>
      <c r="E67" s="5" t="s">
        <v>108</v>
      </c>
      <c r="F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7" s="2" t="str">
        <f>IF(Table1[[#This Row],[Type]]="Major",Table1[[#This Row],[Major Group]],G66)</f>
        <v>11-0000</v>
      </c>
      <c r="H67" s="2" t="str">
        <f>IF(Table1[[#This Row],[Major Group]]&lt;&gt;"","n/a",IF(Table1[[#This Row],[Minor Group]]&lt;&gt;"",Table1[[#This Row],[Minor Group]],H66))</f>
        <v>11-9000</v>
      </c>
      <c r="I67" s="2" t="str">
        <f>IF(Table1[[#This Row],[Major Group]]&lt;&gt;"","n/a",IF(Table1[[#This Row],[Minor Group]]&lt;&gt;"","n/a",IF(Table1[[#This Row],[Broad Group]]&lt;&gt;"",Table1[[#This Row],[Broad Group]],I66)))</f>
        <v>11-9150</v>
      </c>
      <c r="J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Occupation]],J66))))</f>
        <v>11-9151</v>
      </c>
      <c r="K67" s="2" t="str">
        <f>Table1[[#This Row],[Group Name]]</f>
        <v>Social and Community Service Managers</v>
      </c>
    </row>
    <row r="68" spans="1:11" x14ac:dyDescent="0.25">
      <c r="C68" s="1" t="s">
        <v>110</v>
      </c>
      <c r="E68" s="1" t="s">
        <v>111</v>
      </c>
      <c r="F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8" s="2" t="str">
        <f>IF(Table1[[#This Row],[Type]]="Major",Table1[[#This Row],[Major Group]],G67)</f>
        <v>11-0000</v>
      </c>
      <c r="H68" s="2" t="str">
        <f>IF(Table1[[#This Row],[Major Group]]&lt;&gt;"","n/a",IF(Table1[[#This Row],[Minor Group]]&lt;&gt;"",Table1[[#This Row],[Minor Group]],H67))</f>
        <v>11-9000</v>
      </c>
      <c r="I68" s="2" t="str">
        <f>IF(Table1[[#This Row],[Major Group]]&lt;&gt;"","n/a",IF(Table1[[#This Row],[Minor Group]]&lt;&gt;"","n/a",IF(Table1[[#This Row],[Broad Group]]&lt;&gt;"",Table1[[#This Row],[Broad Group]],I67)))</f>
        <v>11-9160</v>
      </c>
      <c r="J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Occupation]],J67))))</f>
        <v>n/a</v>
      </c>
      <c r="K68" s="2" t="str">
        <f>Table1[[#This Row],[Group Name]]</f>
        <v>Emergency Management Directors</v>
      </c>
    </row>
    <row r="69" spans="1:11" x14ac:dyDescent="0.25">
      <c r="D69" s="5" t="s">
        <v>112</v>
      </c>
      <c r="E69" s="5" t="s">
        <v>111</v>
      </c>
      <c r="F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9" s="2" t="str">
        <f>IF(Table1[[#This Row],[Type]]="Major",Table1[[#This Row],[Major Group]],G68)</f>
        <v>11-0000</v>
      </c>
      <c r="H69" s="2" t="str">
        <f>IF(Table1[[#This Row],[Major Group]]&lt;&gt;"","n/a",IF(Table1[[#This Row],[Minor Group]]&lt;&gt;"",Table1[[#This Row],[Minor Group]],H68))</f>
        <v>11-9000</v>
      </c>
      <c r="I69" s="2" t="str">
        <f>IF(Table1[[#This Row],[Major Group]]&lt;&gt;"","n/a",IF(Table1[[#This Row],[Minor Group]]&lt;&gt;"","n/a",IF(Table1[[#This Row],[Broad Group]]&lt;&gt;"",Table1[[#This Row],[Broad Group]],I68)))</f>
        <v>11-9160</v>
      </c>
      <c r="J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Occupation]],J68))))</f>
        <v>11-9161</v>
      </c>
      <c r="K69" s="2" t="str">
        <f>Table1[[#This Row],[Group Name]]</f>
        <v>Emergency Management Directors</v>
      </c>
    </row>
    <row r="70" spans="1:11" x14ac:dyDescent="0.25">
      <c r="C70" s="1" t="s">
        <v>113</v>
      </c>
      <c r="E70" s="1" t="s">
        <v>114</v>
      </c>
      <c r="F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0" s="2" t="str">
        <f>IF(Table1[[#This Row],[Type]]="Major",Table1[[#This Row],[Major Group]],G69)</f>
        <v>11-0000</v>
      </c>
      <c r="H70" s="2" t="str">
        <f>IF(Table1[[#This Row],[Major Group]]&lt;&gt;"","n/a",IF(Table1[[#This Row],[Minor Group]]&lt;&gt;"",Table1[[#This Row],[Minor Group]],H69))</f>
        <v>11-9000</v>
      </c>
      <c r="I70" s="2" t="str">
        <f>IF(Table1[[#This Row],[Major Group]]&lt;&gt;"","n/a",IF(Table1[[#This Row],[Minor Group]]&lt;&gt;"","n/a",IF(Table1[[#This Row],[Broad Group]]&lt;&gt;"",Table1[[#This Row],[Broad Group]],I69)))</f>
        <v>11-9170</v>
      </c>
      <c r="J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Occupation]],J69))))</f>
        <v>n/a</v>
      </c>
      <c r="K70" s="2" t="str">
        <f>Table1[[#This Row],[Group Name]]</f>
        <v>Personal Service Managers</v>
      </c>
    </row>
    <row r="71" spans="1:11" x14ac:dyDescent="0.25">
      <c r="D71" s="5" t="s">
        <v>115</v>
      </c>
      <c r="E71" s="5" t="s">
        <v>116</v>
      </c>
      <c r="F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1" s="2" t="str">
        <f>IF(Table1[[#This Row],[Type]]="Major",Table1[[#This Row],[Major Group]],G70)</f>
        <v>11-0000</v>
      </c>
      <c r="H71" s="2" t="str">
        <f>IF(Table1[[#This Row],[Major Group]]&lt;&gt;"","n/a",IF(Table1[[#This Row],[Minor Group]]&lt;&gt;"",Table1[[#This Row],[Minor Group]],H70))</f>
        <v>11-9000</v>
      </c>
      <c r="I71" s="2" t="str">
        <f>IF(Table1[[#This Row],[Major Group]]&lt;&gt;"","n/a",IF(Table1[[#This Row],[Minor Group]]&lt;&gt;"","n/a",IF(Table1[[#This Row],[Broad Group]]&lt;&gt;"",Table1[[#This Row],[Broad Group]],I70)))</f>
        <v>11-9170</v>
      </c>
      <c r="J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Occupation]],J70))))</f>
        <v>11-9171</v>
      </c>
      <c r="K71" s="2" t="str">
        <f>Table1[[#This Row],[Group Name]]</f>
        <v>Funeral Home Managers</v>
      </c>
    </row>
    <row r="72" spans="1:11" x14ac:dyDescent="0.25">
      <c r="D72" s="5" t="s">
        <v>117</v>
      </c>
      <c r="E72" s="5" t="s">
        <v>118</v>
      </c>
      <c r="F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2" s="2" t="str">
        <f>IF(Table1[[#This Row],[Type]]="Major",Table1[[#This Row],[Major Group]],G71)</f>
        <v>11-0000</v>
      </c>
      <c r="H72" s="2" t="str">
        <f>IF(Table1[[#This Row],[Major Group]]&lt;&gt;"","n/a",IF(Table1[[#This Row],[Minor Group]]&lt;&gt;"",Table1[[#This Row],[Minor Group]],H71))</f>
        <v>11-9000</v>
      </c>
      <c r="I72" s="2" t="str">
        <f>IF(Table1[[#This Row],[Major Group]]&lt;&gt;"","n/a",IF(Table1[[#This Row],[Minor Group]]&lt;&gt;"","n/a",IF(Table1[[#This Row],[Broad Group]]&lt;&gt;"",Table1[[#This Row],[Broad Group]],I71)))</f>
        <v>11-9170</v>
      </c>
      <c r="J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Occupation]],J71))))</f>
        <v>11-9179</v>
      </c>
      <c r="K72" s="2" t="str">
        <f>Table1[[#This Row],[Group Name]]</f>
        <v>Personal Service Managers, All Other</v>
      </c>
    </row>
    <row r="73" spans="1:11" x14ac:dyDescent="0.25">
      <c r="C73" s="1" t="s">
        <v>119</v>
      </c>
      <c r="E73" s="1" t="s">
        <v>120</v>
      </c>
      <c r="F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3" s="2" t="str">
        <f>IF(Table1[[#This Row],[Type]]="Major",Table1[[#This Row],[Major Group]],G72)</f>
        <v>11-0000</v>
      </c>
      <c r="H73" s="2" t="str">
        <f>IF(Table1[[#This Row],[Major Group]]&lt;&gt;"","n/a",IF(Table1[[#This Row],[Minor Group]]&lt;&gt;"",Table1[[#This Row],[Minor Group]],H72))</f>
        <v>11-9000</v>
      </c>
      <c r="I73" s="2" t="str">
        <f>IF(Table1[[#This Row],[Major Group]]&lt;&gt;"","n/a",IF(Table1[[#This Row],[Minor Group]]&lt;&gt;"","n/a",IF(Table1[[#This Row],[Broad Group]]&lt;&gt;"",Table1[[#This Row],[Broad Group]],I72)))</f>
        <v>11-9190</v>
      </c>
      <c r="J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Occupation]],J72))))</f>
        <v>n/a</v>
      </c>
      <c r="K73" s="2" t="str">
        <f>Table1[[#This Row],[Group Name]]</f>
        <v>Miscellaneous Managers</v>
      </c>
    </row>
    <row r="74" spans="1:11" x14ac:dyDescent="0.25">
      <c r="D74" s="5" t="s">
        <v>121</v>
      </c>
      <c r="E74" s="5" t="s">
        <v>122</v>
      </c>
      <c r="F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4" s="2" t="str">
        <f>IF(Table1[[#This Row],[Type]]="Major",Table1[[#This Row],[Major Group]],G73)</f>
        <v>11-0000</v>
      </c>
      <c r="H74" s="2" t="str">
        <f>IF(Table1[[#This Row],[Major Group]]&lt;&gt;"","n/a",IF(Table1[[#This Row],[Minor Group]]&lt;&gt;"",Table1[[#This Row],[Minor Group]],H73))</f>
        <v>11-9000</v>
      </c>
      <c r="I74" s="2" t="str">
        <f>IF(Table1[[#This Row],[Major Group]]&lt;&gt;"","n/a",IF(Table1[[#This Row],[Minor Group]]&lt;&gt;"","n/a",IF(Table1[[#This Row],[Broad Group]]&lt;&gt;"",Table1[[#This Row],[Broad Group]],I73)))</f>
        <v>11-9190</v>
      </c>
      <c r="J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Occupation]],J73))))</f>
        <v>11-9199</v>
      </c>
      <c r="K74" s="2" t="str">
        <f>Table1[[#This Row],[Group Name]]</f>
        <v>Managers, All Other</v>
      </c>
    </row>
    <row r="75" spans="1:11" ht="15.75" x14ac:dyDescent="0.25">
      <c r="A75" s="4" t="s">
        <v>123</v>
      </c>
      <c r="E75" s="4" t="s">
        <v>124</v>
      </c>
      <c r="F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75" s="2" t="str">
        <f>IF(Table1[[#This Row],[Type]]="Major",Table1[[#This Row],[Major Group]],G74)</f>
        <v>13-0000</v>
      </c>
      <c r="H75" s="2" t="str">
        <f>IF(Table1[[#This Row],[Major Group]]&lt;&gt;"","n/a",IF(Table1[[#This Row],[Minor Group]]&lt;&gt;"",Table1[[#This Row],[Minor Group]],H74))</f>
        <v>n/a</v>
      </c>
      <c r="I75" s="2" t="str">
        <f>IF(Table1[[#This Row],[Major Group]]&lt;&gt;"","n/a",IF(Table1[[#This Row],[Minor Group]]&lt;&gt;"","n/a",IF(Table1[[#This Row],[Broad Group]]&lt;&gt;"",Table1[[#This Row],[Broad Group]],I74)))</f>
        <v>n/a</v>
      </c>
      <c r="J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Occupation]],J74))))</f>
        <v>n/a</v>
      </c>
      <c r="K75" s="2" t="str">
        <f>Table1[[#This Row],[Group Name]]</f>
        <v>Business and Financial Operations Occupations</v>
      </c>
    </row>
    <row r="76" spans="1:11" x14ac:dyDescent="0.25">
      <c r="B76" s="3" t="s">
        <v>125</v>
      </c>
      <c r="E76" s="3" t="s">
        <v>126</v>
      </c>
      <c r="F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6" s="2" t="str">
        <f>IF(Table1[[#This Row],[Type]]="Major",Table1[[#This Row],[Major Group]],G75)</f>
        <v>13-0000</v>
      </c>
      <c r="H76" s="2" t="str">
        <f>IF(Table1[[#This Row],[Major Group]]&lt;&gt;"","n/a",IF(Table1[[#This Row],[Minor Group]]&lt;&gt;"",Table1[[#This Row],[Minor Group]],H75))</f>
        <v>13-1000</v>
      </c>
      <c r="I76" s="2" t="str">
        <f>IF(Table1[[#This Row],[Major Group]]&lt;&gt;"","n/a",IF(Table1[[#This Row],[Minor Group]]&lt;&gt;"","n/a",IF(Table1[[#This Row],[Broad Group]]&lt;&gt;"",Table1[[#This Row],[Broad Group]],I75)))</f>
        <v>n/a</v>
      </c>
      <c r="J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Occupation]],J75))))</f>
        <v>n/a</v>
      </c>
      <c r="K76" s="2" t="str">
        <f>Table1[[#This Row],[Group Name]]</f>
        <v>Business Operations Specialists</v>
      </c>
    </row>
    <row r="77" spans="1:11" ht="30" x14ac:dyDescent="0.25">
      <c r="C77" s="1" t="s">
        <v>127</v>
      </c>
      <c r="E77" s="1" t="s">
        <v>128</v>
      </c>
      <c r="F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7" s="2" t="str">
        <f>IF(Table1[[#This Row],[Type]]="Major",Table1[[#This Row],[Major Group]],G76)</f>
        <v>13-0000</v>
      </c>
      <c r="H77" s="2" t="str">
        <f>IF(Table1[[#This Row],[Major Group]]&lt;&gt;"","n/a",IF(Table1[[#This Row],[Minor Group]]&lt;&gt;"",Table1[[#This Row],[Minor Group]],H76))</f>
        <v>13-1000</v>
      </c>
      <c r="I77" s="2" t="str">
        <f>IF(Table1[[#This Row],[Major Group]]&lt;&gt;"","n/a",IF(Table1[[#This Row],[Minor Group]]&lt;&gt;"","n/a",IF(Table1[[#This Row],[Broad Group]]&lt;&gt;"",Table1[[#This Row],[Broad Group]],I76)))</f>
        <v>13-1010</v>
      </c>
      <c r="J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Occupation]],J76))))</f>
        <v>n/a</v>
      </c>
      <c r="K77" s="2" t="str">
        <f>Table1[[#This Row],[Group Name]]</f>
        <v>Agents and Business Managers of Artists, Performers, and Athletes</v>
      </c>
    </row>
    <row r="78" spans="1:11" ht="25.5" x14ac:dyDescent="0.25">
      <c r="D78" s="5" t="s">
        <v>129</v>
      </c>
      <c r="E78" s="5" t="s">
        <v>128</v>
      </c>
      <c r="F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8" s="2" t="str">
        <f>IF(Table1[[#This Row],[Type]]="Major",Table1[[#This Row],[Major Group]],G77)</f>
        <v>13-0000</v>
      </c>
      <c r="H78" s="2" t="str">
        <f>IF(Table1[[#This Row],[Major Group]]&lt;&gt;"","n/a",IF(Table1[[#This Row],[Minor Group]]&lt;&gt;"",Table1[[#This Row],[Minor Group]],H77))</f>
        <v>13-1000</v>
      </c>
      <c r="I78" s="2" t="str">
        <f>IF(Table1[[#This Row],[Major Group]]&lt;&gt;"","n/a",IF(Table1[[#This Row],[Minor Group]]&lt;&gt;"","n/a",IF(Table1[[#This Row],[Broad Group]]&lt;&gt;"",Table1[[#This Row],[Broad Group]],I77)))</f>
        <v>13-1010</v>
      </c>
      <c r="J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Occupation]],J77))))</f>
        <v>13-1011</v>
      </c>
      <c r="K78" s="2" t="str">
        <f>Table1[[#This Row],[Group Name]]</f>
        <v>Agents and Business Managers of Artists, Performers, and Athletes</v>
      </c>
    </row>
    <row r="79" spans="1:11" x14ac:dyDescent="0.25">
      <c r="C79" s="1" t="s">
        <v>130</v>
      </c>
      <c r="E79" s="1" t="s">
        <v>131</v>
      </c>
      <c r="F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9" s="2" t="str">
        <f>IF(Table1[[#This Row],[Type]]="Major",Table1[[#This Row],[Major Group]],G78)</f>
        <v>13-0000</v>
      </c>
      <c r="H79" s="2" t="str">
        <f>IF(Table1[[#This Row],[Major Group]]&lt;&gt;"","n/a",IF(Table1[[#This Row],[Minor Group]]&lt;&gt;"",Table1[[#This Row],[Minor Group]],H78))</f>
        <v>13-1000</v>
      </c>
      <c r="I79" s="2" t="str">
        <f>IF(Table1[[#This Row],[Major Group]]&lt;&gt;"","n/a",IF(Table1[[#This Row],[Minor Group]]&lt;&gt;"","n/a",IF(Table1[[#This Row],[Broad Group]]&lt;&gt;"",Table1[[#This Row],[Broad Group]],I78)))</f>
        <v>13-1020</v>
      </c>
      <c r="J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Occupation]],J78))))</f>
        <v>n/a</v>
      </c>
      <c r="K79" s="2" t="str">
        <f>Table1[[#This Row],[Group Name]]</f>
        <v>Buyers and Purchasing Agents</v>
      </c>
    </row>
    <row r="80" spans="1:11" ht="25.5" x14ac:dyDescent="0.25">
      <c r="D80" s="5" t="s">
        <v>132</v>
      </c>
      <c r="E80" s="5" t="s">
        <v>133</v>
      </c>
      <c r="F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0" s="2" t="str">
        <f>IF(Table1[[#This Row],[Type]]="Major",Table1[[#This Row],[Major Group]],G79)</f>
        <v>13-0000</v>
      </c>
      <c r="H80" s="2" t="str">
        <f>IF(Table1[[#This Row],[Major Group]]&lt;&gt;"","n/a",IF(Table1[[#This Row],[Minor Group]]&lt;&gt;"",Table1[[#This Row],[Minor Group]],H79))</f>
        <v>13-1000</v>
      </c>
      <c r="I80" s="2" t="str">
        <f>IF(Table1[[#This Row],[Major Group]]&lt;&gt;"","n/a",IF(Table1[[#This Row],[Minor Group]]&lt;&gt;"","n/a",IF(Table1[[#This Row],[Broad Group]]&lt;&gt;"",Table1[[#This Row],[Broad Group]],I79)))</f>
        <v>13-1020</v>
      </c>
      <c r="J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Occupation]],J79))))</f>
        <v>13-1021</v>
      </c>
      <c r="K80" s="2" t="str">
        <f>Table1[[#This Row],[Group Name]]</f>
        <v>Buyers and Purchasing Agents, Farm Products</v>
      </c>
    </row>
    <row r="81" spans="3:11" ht="25.5" x14ac:dyDescent="0.25">
      <c r="D81" s="5" t="s">
        <v>134</v>
      </c>
      <c r="E81" s="5" t="s">
        <v>135</v>
      </c>
      <c r="F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1" s="2" t="str">
        <f>IF(Table1[[#This Row],[Type]]="Major",Table1[[#This Row],[Major Group]],G80)</f>
        <v>13-0000</v>
      </c>
      <c r="H81" s="2" t="str">
        <f>IF(Table1[[#This Row],[Major Group]]&lt;&gt;"","n/a",IF(Table1[[#This Row],[Minor Group]]&lt;&gt;"",Table1[[#This Row],[Minor Group]],H80))</f>
        <v>13-1000</v>
      </c>
      <c r="I81" s="2" t="str">
        <f>IF(Table1[[#This Row],[Major Group]]&lt;&gt;"","n/a",IF(Table1[[#This Row],[Minor Group]]&lt;&gt;"","n/a",IF(Table1[[#This Row],[Broad Group]]&lt;&gt;"",Table1[[#This Row],[Broad Group]],I80)))</f>
        <v>13-1020</v>
      </c>
      <c r="J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Occupation]],J80))))</f>
        <v>13-1022</v>
      </c>
      <c r="K81" s="2" t="str">
        <f>Table1[[#This Row],[Group Name]]</f>
        <v>Wholesale and Retail Buyers, Except Farm Products</v>
      </c>
    </row>
    <row r="82" spans="3:11" ht="25.5" x14ac:dyDescent="0.25">
      <c r="D82" s="5" t="s">
        <v>136</v>
      </c>
      <c r="E82" s="5" t="s">
        <v>137</v>
      </c>
      <c r="F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2" s="2" t="str">
        <f>IF(Table1[[#This Row],[Type]]="Major",Table1[[#This Row],[Major Group]],G81)</f>
        <v>13-0000</v>
      </c>
      <c r="H82" s="2" t="str">
        <f>IF(Table1[[#This Row],[Major Group]]&lt;&gt;"","n/a",IF(Table1[[#This Row],[Minor Group]]&lt;&gt;"",Table1[[#This Row],[Minor Group]],H81))</f>
        <v>13-1000</v>
      </c>
      <c r="I82" s="2" t="str">
        <f>IF(Table1[[#This Row],[Major Group]]&lt;&gt;"","n/a",IF(Table1[[#This Row],[Minor Group]]&lt;&gt;"","n/a",IF(Table1[[#This Row],[Broad Group]]&lt;&gt;"",Table1[[#This Row],[Broad Group]],I81)))</f>
        <v>13-1020</v>
      </c>
      <c r="J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Occupation]],J81))))</f>
        <v>13-1023</v>
      </c>
      <c r="K82" s="2" t="str">
        <f>Table1[[#This Row],[Group Name]]</f>
        <v>Purchasing Agents, Except Wholesale, Retail, and Farm Products</v>
      </c>
    </row>
    <row r="83" spans="3:11" ht="30" x14ac:dyDescent="0.25">
      <c r="C83" s="1" t="s">
        <v>138</v>
      </c>
      <c r="E83" s="1" t="s">
        <v>139</v>
      </c>
      <c r="F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3" s="2" t="str">
        <f>IF(Table1[[#This Row],[Type]]="Major",Table1[[#This Row],[Major Group]],G82)</f>
        <v>13-0000</v>
      </c>
      <c r="H83" s="2" t="str">
        <f>IF(Table1[[#This Row],[Major Group]]&lt;&gt;"","n/a",IF(Table1[[#This Row],[Minor Group]]&lt;&gt;"",Table1[[#This Row],[Minor Group]],H82))</f>
        <v>13-1000</v>
      </c>
      <c r="I83" s="2" t="str">
        <f>IF(Table1[[#This Row],[Major Group]]&lt;&gt;"","n/a",IF(Table1[[#This Row],[Minor Group]]&lt;&gt;"","n/a",IF(Table1[[#This Row],[Broad Group]]&lt;&gt;"",Table1[[#This Row],[Broad Group]],I82)))</f>
        <v>13-1030</v>
      </c>
      <c r="J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Occupation]],J82))))</f>
        <v>n/a</v>
      </c>
      <c r="K83" s="2" t="str">
        <f>Table1[[#This Row],[Group Name]]</f>
        <v>Claims Adjusters, Appraisers, Examiners, and Investigators</v>
      </c>
    </row>
    <row r="84" spans="3:11" ht="25.5" x14ac:dyDescent="0.25">
      <c r="D84" s="5" t="s">
        <v>140</v>
      </c>
      <c r="E84" s="5" t="s">
        <v>141</v>
      </c>
      <c r="F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4" s="2" t="str">
        <f>IF(Table1[[#This Row],[Type]]="Major",Table1[[#This Row],[Major Group]],G83)</f>
        <v>13-0000</v>
      </c>
      <c r="H84" s="2" t="str">
        <f>IF(Table1[[#This Row],[Major Group]]&lt;&gt;"","n/a",IF(Table1[[#This Row],[Minor Group]]&lt;&gt;"",Table1[[#This Row],[Minor Group]],H83))</f>
        <v>13-1000</v>
      </c>
      <c r="I84" s="2" t="str">
        <f>IF(Table1[[#This Row],[Major Group]]&lt;&gt;"","n/a",IF(Table1[[#This Row],[Minor Group]]&lt;&gt;"","n/a",IF(Table1[[#This Row],[Broad Group]]&lt;&gt;"",Table1[[#This Row],[Broad Group]],I83)))</f>
        <v>13-1030</v>
      </c>
      <c r="J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Occupation]],J83))))</f>
        <v>13-1031</v>
      </c>
      <c r="K84" s="2" t="str">
        <f>Table1[[#This Row],[Group Name]]</f>
        <v>Claims Adjusters, Examiners, and Investigators</v>
      </c>
    </row>
    <row r="85" spans="3:11" x14ac:dyDescent="0.25">
      <c r="D85" s="5" t="s">
        <v>142</v>
      </c>
      <c r="E85" s="5" t="s">
        <v>143</v>
      </c>
      <c r="F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5" s="2" t="str">
        <f>IF(Table1[[#This Row],[Type]]="Major",Table1[[#This Row],[Major Group]],G84)</f>
        <v>13-0000</v>
      </c>
      <c r="H85" s="2" t="str">
        <f>IF(Table1[[#This Row],[Major Group]]&lt;&gt;"","n/a",IF(Table1[[#This Row],[Minor Group]]&lt;&gt;"",Table1[[#This Row],[Minor Group]],H84))</f>
        <v>13-1000</v>
      </c>
      <c r="I85" s="2" t="str">
        <f>IF(Table1[[#This Row],[Major Group]]&lt;&gt;"","n/a",IF(Table1[[#This Row],[Minor Group]]&lt;&gt;"","n/a",IF(Table1[[#This Row],[Broad Group]]&lt;&gt;"",Table1[[#This Row],[Broad Group]],I84)))</f>
        <v>13-1030</v>
      </c>
      <c r="J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Occupation]],J84))))</f>
        <v>13-1032</v>
      </c>
      <c r="K85" s="2" t="str">
        <f>Table1[[#This Row],[Group Name]]</f>
        <v>Insurance Appraisers, Auto Damage</v>
      </c>
    </row>
    <row r="86" spans="3:11" x14ac:dyDescent="0.25">
      <c r="C86" s="1" t="s">
        <v>144</v>
      </c>
      <c r="E86" s="1" t="s">
        <v>145</v>
      </c>
      <c r="F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6" s="2" t="str">
        <f>IF(Table1[[#This Row],[Type]]="Major",Table1[[#This Row],[Major Group]],G85)</f>
        <v>13-0000</v>
      </c>
      <c r="H86" s="2" t="str">
        <f>IF(Table1[[#This Row],[Major Group]]&lt;&gt;"","n/a",IF(Table1[[#This Row],[Minor Group]]&lt;&gt;"",Table1[[#This Row],[Minor Group]],H85))</f>
        <v>13-1000</v>
      </c>
      <c r="I86" s="2" t="str">
        <f>IF(Table1[[#This Row],[Major Group]]&lt;&gt;"","n/a",IF(Table1[[#This Row],[Minor Group]]&lt;&gt;"","n/a",IF(Table1[[#This Row],[Broad Group]]&lt;&gt;"",Table1[[#This Row],[Broad Group]],I85)))</f>
        <v>13-1040</v>
      </c>
      <c r="J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Occupation]],J85))))</f>
        <v>n/a</v>
      </c>
      <c r="K86" s="2" t="str">
        <f>Table1[[#This Row],[Group Name]]</f>
        <v>Compliance Officers</v>
      </c>
    </row>
    <row r="87" spans="3:11" x14ac:dyDescent="0.25">
      <c r="D87" s="5" t="s">
        <v>146</v>
      </c>
      <c r="E87" s="5" t="s">
        <v>145</v>
      </c>
      <c r="F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7" s="2" t="str">
        <f>IF(Table1[[#This Row],[Type]]="Major",Table1[[#This Row],[Major Group]],G86)</f>
        <v>13-0000</v>
      </c>
      <c r="H87" s="2" t="str">
        <f>IF(Table1[[#This Row],[Major Group]]&lt;&gt;"","n/a",IF(Table1[[#This Row],[Minor Group]]&lt;&gt;"",Table1[[#This Row],[Minor Group]],H86))</f>
        <v>13-1000</v>
      </c>
      <c r="I87" s="2" t="str">
        <f>IF(Table1[[#This Row],[Major Group]]&lt;&gt;"","n/a",IF(Table1[[#This Row],[Minor Group]]&lt;&gt;"","n/a",IF(Table1[[#This Row],[Broad Group]]&lt;&gt;"",Table1[[#This Row],[Broad Group]],I86)))</f>
        <v>13-1040</v>
      </c>
      <c r="J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Occupation]],J86))))</f>
        <v>13-1041</v>
      </c>
      <c r="K87" s="2" t="str">
        <f>Table1[[#This Row],[Group Name]]</f>
        <v>Compliance Officers</v>
      </c>
    </row>
    <row r="88" spans="3:11" x14ac:dyDescent="0.25">
      <c r="C88" s="1" t="s">
        <v>147</v>
      </c>
      <c r="E88" s="1" t="s">
        <v>148</v>
      </c>
      <c r="F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8" s="2" t="str">
        <f>IF(Table1[[#This Row],[Type]]="Major",Table1[[#This Row],[Major Group]],G87)</f>
        <v>13-0000</v>
      </c>
      <c r="H88" s="2" t="str">
        <f>IF(Table1[[#This Row],[Major Group]]&lt;&gt;"","n/a",IF(Table1[[#This Row],[Minor Group]]&lt;&gt;"",Table1[[#This Row],[Minor Group]],H87))</f>
        <v>13-1000</v>
      </c>
      <c r="I88" s="2" t="str">
        <f>IF(Table1[[#This Row],[Major Group]]&lt;&gt;"","n/a",IF(Table1[[#This Row],[Minor Group]]&lt;&gt;"","n/a",IF(Table1[[#This Row],[Broad Group]]&lt;&gt;"",Table1[[#This Row],[Broad Group]],I87)))</f>
        <v>13-1050</v>
      </c>
      <c r="J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Occupation]],J87))))</f>
        <v>n/a</v>
      </c>
      <c r="K88" s="2" t="str">
        <f>Table1[[#This Row],[Group Name]]</f>
        <v>Cost Estimators</v>
      </c>
    </row>
    <row r="89" spans="3:11" x14ac:dyDescent="0.25">
      <c r="D89" s="5" t="s">
        <v>149</v>
      </c>
      <c r="E89" s="5" t="s">
        <v>148</v>
      </c>
      <c r="F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9" s="2" t="str">
        <f>IF(Table1[[#This Row],[Type]]="Major",Table1[[#This Row],[Major Group]],G88)</f>
        <v>13-0000</v>
      </c>
      <c r="H89" s="2" t="str">
        <f>IF(Table1[[#This Row],[Major Group]]&lt;&gt;"","n/a",IF(Table1[[#This Row],[Minor Group]]&lt;&gt;"",Table1[[#This Row],[Minor Group]],H88))</f>
        <v>13-1000</v>
      </c>
      <c r="I89" s="2" t="str">
        <f>IF(Table1[[#This Row],[Major Group]]&lt;&gt;"","n/a",IF(Table1[[#This Row],[Minor Group]]&lt;&gt;"","n/a",IF(Table1[[#This Row],[Broad Group]]&lt;&gt;"",Table1[[#This Row],[Broad Group]],I88)))</f>
        <v>13-1050</v>
      </c>
      <c r="J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Occupation]],J88))))</f>
        <v>13-1051</v>
      </c>
      <c r="K89" s="2" t="str">
        <f>Table1[[#This Row],[Group Name]]</f>
        <v>Cost Estimators</v>
      </c>
    </row>
    <row r="90" spans="3:11" x14ac:dyDescent="0.25">
      <c r="C90" s="1" t="s">
        <v>150</v>
      </c>
      <c r="E90" s="1" t="s">
        <v>151</v>
      </c>
      <c r="F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0" s="2" t="str">
        <f>IF(Table1[[#This Row],[Type]]="Major",Table1[[#This Row],[Major Group]],G89)</f>
        <v>13-0000</v>
      </c>
      <c r="H90" s="2" t="str">
        <f>IF(Table1[[#This Row],[Major Group]]&lt;&gt;"","n/a",IF(Table1[[#This Row],[Minor Group]]&lt;&gt;"",Table1[[#This Row],[Minor Group]],H89))</f>
        <v>13-1000</v>
      </c>
      <c r="I90" s="2" t="str">
        <f>IF(Table1[[#This Row],[Major Group]]&lt;&gt;"","n/a",IF(Table1[[#This Row],[Minor Group]]&lt;&gt;"","n/a",IF(Table1[[#This Row],[Broad Group]]&lt;&gt;"",Table1[[#This Row],[Broad Group]],I89)))</f>
        <v>13-1070</v>
      </c>
      <c r="J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Occupation]],J89))))</f>
        <v>n/a</v>
      </c>
      <c r="K90" s="2" t="str">
        <f>Table1[[#This Row],[Group Name]]</f>
        <v>Human Resources Workers</v>
      </c>
    </row>
    <row r="91" spans="3:11" x14ac:dyDescent="0.25">
      <c r="D91" s="5" t="s">
        <v>152</v>
      </c>
      <c r="E91" s="5" t="s">
        <v>153</v>
      </c>
      <c r="F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1" s="2" t="str">
        <f>IF(Table1[[#This Row],[Type]]="Major",Table1[[#This Row],[Major Group]],G90)</f>
        <v>13-0000</v>
      </c>
      <c r="H91" s="2" t="str">
        <f>IF(Table1[[#This Row],[Major Group]]&lt;&gt;"","n/a",IF(Table1[[#This Row],[Minor Group]]&lt;&gt;"",Table1[[#This Row],[Minor Group]],H90))</f>
        <v>13-1000</v>
      </c>
      <c r="I91" s="2" t="str">
        <f>IF(Table1[[#This Row],[Major Group]]&lt;&gt;"","n/a",IF(Table1[[#This Row],[Minor Group]]&lt;&gt;"","n/a",IF(Table1[[#This Row],[Broad Group]]&lt;&gt;"",Table1[[#This Row],[Broad Group]],I90)))</f>
        <v>13-1070</v>
      </c>
      <c r="J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Occupation]],J90))))</f>
        <v>13-1071</v>
      </c>
      <c r="K91" s="2" t="str">
        <f>Table1[[#This Row],[Group Name]]</f>
        <v>Human Resources Specialists</v>
      </c>
    </row>
    <row r="92" spans="3:11" x14ac:dyDescent="0.25">
      <c r="D92" s="5" t="s">
        <v>154</v>
      </c>
      <c r="E92" s="5" t="s">
        <v>155</v>
      </c>
      <c r="F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2" s="2" t="str">
        <f>IF(Table1[[#This Row],[Type]]="Major",Table1[[#This Row],[Major Group]],G91)</f>
        <v>13-0000</v>
      </c>
      <c r="H92" s="2" t="str">
        <f>IF(Table1[[#This Row],[Major Group]]&lt;&gt;"","n/a",IF(Table1[[#This Row],[Minor Group]]&lt;&gt;"",Table1[[#This Row],[Minor Group]],H91))</f>
        <v>13-1000</v>
      </c>
      <c r="I92" s="2" t="str">
        <f>IF(Table1[[#This Row],[Major Group]]&lt;&gt;"","n/a",IF(Table1[[#This Row],[Minor Group]]&lt;&gt;"","n/a",IF(Table1[[#This Row],[Broad Group]]&lt;&gt;"",Table1[[#This Row],[Broad Group]],I91)))</f>
        <v>13-1070</v>
      </c>
      <c r="J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Occupation]],J91))))</f>
        <v>13-1074</v>
      </c>
      <c r="K92" s="2" t="str">
        <f>Table1[[#This Row],[Group Name]]</f>
        <v>Farm Labor Contractors</v>
      </c>
    </row>
    <row r="93" spans="3:11" x14ac:dyDescent="0.25">
      <c r="D93" s="5" t="s">
        <v>156</v>
      </c>
      <c r="E93" s="5" t="s">
        <v>157</v>
      </c>
      <c r="F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" s="2" t="str">
        <f>IF(Table1[[#This Row],[Type]]="Major",Table1[[#This Row],[Major Group]],G92)</f>
        <v>13-0000</v>
      </c>
      <c r="H93" s="2" t="str">
        <f>IF(Table1[[#This Row],[Major Group]]&lt;&gt;"","n/a",IF(Table1[[#This Row],[Minor Group]]&lt;&gt;"",Table1[[#This Row],[Minor Group]],H92))</f>
        <v>13-1000</v>
      </c>
      <c r="I93" s="2" t="str">
        <f>IF(Table1[[#This Row],[Major Group]]&lt;&gt;"","n/a",IF(Table1[[#This Row],[Minor Group]]&lt;&gt;"","n/a",IF(Table1[[#This Row],[Broad Group]]&lt;&gt;"",Table1[[#This Row],[Broad Group]],I92)))</f>
        <v>13-1070</v>
      </c>
      <c r="J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Occupation]],J92))))</f>
        <v>13-1075</v>
      </c>
      <c r="K93" s="2" t="str">
        <f>Table1[[#This Row],[Group Name]]</f>
        <v>Labor Relations Specialists</v>
      </c>
    </row>
    <row r="94" spans="3:11" ht="30" x14ac:dyDescent="0.25">
      <c r="C94" s="1" t="s">
        <v>158</v>
      </c>
      <c r="E94" s="1" t="s">
        <v>159</v>
      </c>
      <c r="F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4" s="2" t="str">
        <f>IF(Table1[[#This Row],[Type]]="Major",Table1[[#This Row],[Major Group]],G93)</f>
        <v>13-0000</v>
      </c>
      <c r="H94" s="2" t="str">
        <f>IF(Table1[[#This Row],[Major Group]]&lt;&gt;"","n/a",IF(Table1[[#This Row],[Minor Group]]&lt;&gt;"",Table1[[#This Row],[Minor Group]],H93))</f>
        <v>13-1000</v>
      </c>
      <c r="I94" s="2" t="str">
        <f>IF(Table1[[#This Row],[Major Group]]&lt;&gt;"","n/a",IF(Table1[[#This Row],[Minor Group]]&lt;&gt;"","n/a",IF(Table1[[#This Row],[Broad Group]]&lt;&gt;"",Table1[[#This Row],[Broad Group]],I93)))</f>
        <v>13-1080</v>
      </c>
      <c r="J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Occupation]],J93))))</f>
        <v>n/a</v>
      </c>
      <c r="K94" s="2" t="str">
        <f>Table1[[#This Row],[Group Name]]</f>
        <v>Logisticians and Project Management Specialists</v>
      </c>
    </row>
    <row r="95" spans="3:11" x14ac:dyDescent="0.25">
      <c r="D95" s="5" t="s">
        <v>160</v>
      </c>
      <c r="E95" s="5" t="s">
        <v>161</v>
      </c>
      <c r="F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5" s="2" t="str">
        <f>IF(Table1[[#This Row],[Type]]="Major",Table1[[#This Row],[Major Group]],G94)</f>
        <v>13-0000</v>
      </c>
      <c r="H95" s="2" t="str">
        <f>IF(Table1[[#This Row],[Major Group]]&lt;&gt;"","n/a",IF(Table1[[#This Row],[Minor Group]]&lt;&gt;"",Table1[[#This Row],[Minor Group]],H94))</f>
        <v>13-1000</v>
      </c>
      <c r="I95" s="2" t="str">
        <f>IF(Table1[[#This Row],[Major Group]]&lt;&gt;"","n/a",IF(Table1[[#This Row],[Minor Group]]&lt;&gt;"","n/a",IF(Table1[[#This Row],[Broad Group]]&lt;&gt;"",Table1[[#This Row],[Broad Group]],I94)))</f>
        <v>13-1080</v>
      </c>
      <c r="J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Occupation]],J94))))</f>
        <v>13-1081</v>
      </c>
      <c r="K95" s="2" t="str">
        <f>Table1[[#This Row],[Group Name]]</f>
        <v>Logisticians</v>
      </c>
    </row>
    <row r="96" spans="3:11" x14ac:dyDescent="0.25">
      <c r="D96" s="5" t="s">
        <v>162</v>
      </c>
      <c r="E96" s="5" t="s">
        <v>163</v>
      </c>
      <c r="F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" s="2" t="str">
        <f>IF(Table1[[#This Row],[Type]]="Major",Table1[[#This Row],[Major Group]],G95)</f>
        <v>13-0000</v>
      </c>
      <c r="H96" s="2" t="str">
        <f>IF(Table1[[#This Row],[Major Group]]&lt;&gt;"","n/a",IF(Table1[[#This Row],[Minor Group]]&lt;&gt;"",Table1[[#This Row],[Minor Group]],H95))</f>
        <v>13-1000</v>
      </c>
      <c r="I96" s="2" t="str">
        <f>IF(Table1[[#This Row],[Major Group]]&lt;&gt;"","n/a",IF(Table1[[#This Row],[Minor Group]]&lt;&gt;"","n/a",IF(Table1[[#This Row],[Broad Group]]&lt;&gt;"",Table1[[#This Row],[Broad Group]],I95)))</f>
        <v>13-1080</v>
      </c>
      <c r="J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Occupation]],J95))))</f>
        <v>13-1082</v>
      </c>
      <c r="K96" s="2" t="str">
        <f>Table1[[#This Row],[Group Name]]</f>
        <v>Project Management Specialists</v>
      </c>
    </row>
    <row r="97" spans="2:11" x14ac:dyDescent="0.25">
      <c r="C97" s="1" t="s">
        <v>164</v>
      </c>
      <c r="E97" s="1" t="s">
        <v>165</v>
      </c>
      <c r="F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7" s="2" t="str">
        <f>IF(Table1[[#This Row],[Type]]="Major",Table1[[#This Row],[Major Group]],G96)</f>
        <v>13-0000</v>
      </c>
      <c r="H97" s="2" t="str">
        <f>IF(Table1[[#This Row],[Major Group]]&lt;&gt;"","n/a",IF(Table1[[#This Row],[Minor Group]]&lt;&gt;"",Table1[[#This Row],[Minor Group]],H96))</f>
        <v>13-1000</v>
      </c>
      <c r="I97" s="2" t="str">
        <f>IF(Table1[[#This Row],[Major Group]]&lt;&gt;"","n/a",IF(Table1[[#This Row],[Minor Group]]&lt;&gt;"","n/a",IF(Table1[[#This Row],[Broad Group]]&lt;&gt;"",Table1[[#This Row],[Broad Group]],I96)))</f>
        <v>13-1110</v>
      </c>
      <c r="J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Occupation]],J96))))</f>
        <v>n/a</v>
      </c>
      <c r="K97" s="2" t="str">
        <f>Table1[[#This Row],[Group Name]]</f>
        <v>Management Analysts</v>
      </c>
    </row>
    <row r="98" spans="2:11" x14ac:dyDescent="0.25">
      <c r="D98" s="5" t="s">
        <v>166</v>
      </c>
      <c r="E98" s="5" t="s">
        <v>165</v>
      </c>
      <c r="F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8" s="2" t="str">
        <f>IF(Table1[[#This Row],[Type]]="Major",Table1[[#This Row],[Major Group]],G97)</f>
        <v>13-0000</v>
      </c>
      <c r="H98" s="2" t="str">
        <f>IF(Table1[[#This Row],[Major Group]]&lt;&gt;"","n/a",IF(Table1[[#This Row],[Minor Group]]&lt;&gt;"",Table1[[#This Row],[Minor Group]],H97))</f>
        <v>13-1000</v>
      </c>
      <c r="I98" s="2" t="str">
        <f>IF(Table1[[#This Row],[Major Group]]&lt;&gt;"","n/a",IF(Table1[[#This Row],[Minor Group]]&lt;&gt;"","n/a",IF(Table1[[#This Row],[Broad Group]]&lt;&gt;"",Table1[[#This Row],[Broad Group]],I97)))</f>
        <v>13-1110</v>
      </c>
      <c r="J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Occupation]],J97))))</f>
        <v>13-1111</v>
      </c>
      <c r="K98" s="2" t="str">
        <f>Table1[[#This Row],[Group Name]]</f>
        <v>Management Analysts</v>
      </c>
    </row>
    <row r="99" spans="2:11" ht="30" x14ac:dyDescent="0.25">
      <c r="C99" s="1" t="s">
        <v>167</v>
      </c>
      <c r="E99" s="1" t="s">
        <v>168</v>
      </c>
      <c r="F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9" s="2" t="str">
        <f>IF(Table1[[#This Row],[Type]]="Major",Table1[[#This Row],[Major Group]],G98)</f>
        <v>13-0000</v>
      </c>
      <c r="H99" s="2" t="str">
        <f>IF(Table1[[#This Row],[Major Group]]&lt;&gt;"","n/a",IF(Table1[[#This Row],[Minor Group]]&lt;&gt;"",Table1[[#This Row],[Minor Group]],H98))</f>
        <v>13-1000</v>
      </c>
      <c r="I99" s="2" t="str">
        <f>IF(Table1[[#This Row],[Major Group]]&lt;&gt;"","n/a",IF(Table1[[#This Row],[Minor Group]]&lt;&gt;"","n/a",IF(Table1[[#This Row],[Broad Group]]&lt;&gt;"",Table1[[#This Row],[Broad Group]],I98)))</f>
        <v>13-1120</v>
      </c>
      <c r="J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Occupation]],J98))))</f>
        <v>n/a</v>
      </c>
      <c r="K99" s="2" t="str">
        <f>Table1[[#This Row],[Group Name]]</f>
        <v>Meeting, Convention, and Event Planners</v>
      </c>
    </row>
    <row r="100" spans="2:11" ht="25.5" x14ac:dyDescent="0.25">
      <c r="D100" s="5" t="s">
        <v>169</v>
      </c>
      <c r="E100" s="5" t="s">
        <v>168</v>
      </c>
      <c r="F1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" s="2" t="str">
        <f>IF(Table1[[#This Row],[Type]]="Major",Table1[[#This Row],[Major Group]],G99)</f>
        <v>13-0000</v>
      </c>
      <c r="H100" s="2" t="str">
        <f>IF(Table1[[#This Row],[Major Group]]&lt;&gt;"","n/a",IF(Table1[[#This Row],[Minor Group]]&lt;&gt;"",Table1[[#This Row],[Minor Group]],H99))</f>
        <v>13-1000</v>
      </c>
      <c r="I100" s="2" t="str">
        <f>IF(Table1[[#This Row],[Major Group]]&lt;&gt;"","n/a",IF(Table1[[#This Row],[Minor Group]]&lt;&gt;"","n/a",IF(Table1[[#This Row],[Broad Group]]&lt;&gt;"",Table1[[#This Row],[Broad Group]],I99)))</f>
        <v>13-1120</v>
      </c>
      <c r="J1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Occupation]],J99))))</f>
        <v>13-1121</v>
      </c>
      <c r="K100" s="2" t="str">
        <f>Table1[[#This Row],[Group Name]]</f>
        <v>Meeting, Convention, and Event Planners</v>
      </c>
    </row>
    <row r="101" spans="2:11" x14ac:dyDescent="0.25">
      <c r="C101" s="1" t="s">
        <v>170</v>
      </c>
      <c r="E101" s="1" t="s">
        <v>171</v>
      </c>
      <c r="F1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1" s="2" t="str">
        <f>IF(Table1[[#This Row],[Type]]="Major",Table1[[#This Row],[Major Group]],G100)</f>
        <v>13-0000</v>
      </c>
      <c r="H101" s="2" t="str">
        <f>IF(Table1[[#This Row],[Major Group]]&lt;&gt;"","n/a",IF(Table1[[#This Row],[Minor Group]]&lt;&gt;"",Table1[[#This Row],[Minor Group]],H100))</f>
        <v>13-1000</v>
      </c>
      <c r="I101" s="2" t="str">
        <f>IF(Table1[[#This Row],[Major Group]]&lt;&gt;"","n/a",IF(Table1[[#This Row],[Minor Group]]&lt;&gt;"","n/a",IF(Table1[[#This Row],[Broad Group]]&lt;&gt;"",Table1[[#This Row],[Broad Group]],I100)))</f>
        <v>13-1130</v>
      </c>
      <c r="J1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Occupation]],J100))))</f>
        <v>n/a</v>
      </c>
      <c r="K101" s="2" t="str">
        <f>Table1[[#This Row],[Group Name]]</f>
        <v>Fundraisers</v>
      </c>
    </row>
    <row r="102" spans="2:11" x14ac:dyDescent="0.25">
      <c r="D102" s="5" t="s">
        <v>172</v>
      </c>
      <c r="E102" s="5" t="s">
        <v>171</v>
      </c>
      <c r="F1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2" s="2" t="str">
        <f>IF(Table1[[#This Row],[Type]]="Major",Table1[[#This Row],[Major Group]],G101)</f>
        <v>13-0000</v>
      </c>
      <c r="H102" s="2" t="str">
        <f>IF(Table1[[#This Row],[Major Group]]&lt;&gt;"","n/a",IF(Table1[[#This Row],[Minor Group]]&lt;&gt;"",Table1[[#This Row],[Minor Group]],H101))</f>
        <v>13-1000</v>
      </c>
      <c r="I102" s="2" t="str">
        <f>IF(Table1[[#This Row],[Major Group]]&lt;&gt;"","n/a",IF(Table1[[#This Row],[Minor Group]]&lt;&gt;"","n/a",IF(Table1[[#This Row],[Broad Group]]&lt;&gt;"",Table1[[#This Row],[Broad Group]],I101)))</f>
        <v>13-1130</v>
      </c>
      <c r="J1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Occupation]],J101))))</f>
        <v>13-1131</v>
      </c>
      <c r="K102" s="2" t="str">
        <f>Table1[[#This Row],[Group Name]]</f>
        <v>Fundraisers</v>
      </c>
    </row>
    <row r="103" spans="2:11" ht="30" x14ac:dyDescent="0.25">
      <c r="C103" s="1" t="s">
        <v>173</v>
      </c>
      <c r="E103" s="1" t="s">
        <v>174</v>
      </c>
      <c r="F1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3" s="2" t="str">
        <f>IF(Table1[[#This Row],[Type]]="Major",Table1[[#This Row],[Major Group]],G102)</f>
        <v>13-0000</v>
      </c>
      <c r="H103" s="2" t="str">
        <f>IF(Table1[[#This Row],[Major Group]]&lt;&gt;"","n/a",IF(Table1[[#This Row],[Minor Group]]&lt;&gt;"",Table1[[#This Row],[Minor Group]],H102))</f>
        <v>13-1000</v>
      </c>
      <c r="I103" s="2" t="str">
        <f>IF(Table1[[#This Row],[Major Group]]&lt;&gt;"","n/a",IF(Table1[[#This Row],[Minor Group]]&lt;&gt;"","n/a",IF(Table1[[#This Row],[Broad Group]]&lt;&gt;"",Table1[[#This Row],[Broad Group]],I102)))</f>
        <v>13-1140</v>
      </c>
      <c r="J1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Occupation]],J102))))</f>
        <v>n/a</v>
      </c>
      <c r="K103" s="2" t="str">
        <f>Table1[[#This Row],[Group Name]]</f>
        <v>Compensation, Benefits, and Job Analysis Specialists</v>
      </c>
    </row>
    <row r="104" spans="2:11" ht="25.5" x14ac:dyDescent="0.25">
      <c r="D104" s="5" t="s">
        <v>175</v>
      </c>
      <c r="E104" s="5" t="s">
        <v>174</v>
      </c>
      <c r="F1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4" s="2" t="str">
        <f>IF(Table1[[#This Row],[Type]]="Major",Table1[[#This Row],[Major Group]],G103)</f>
        <v>13-0000</v>
      </c>
      <c r="H104" s="2" t="str">
        <f>IF(Table1[[#This Row],[Major Group]]&lt;&gt;"","n/a",IF(Table1[[#This Row],[Minor Group]]&lt;&gt;"",Table1[[#This Row],[Minor Group]],H103))</f>
        <v>13-1000</v>
      </c>
      <c r="I104" s="2" t="str">
        <f>IF(Table1[[#This Row],[Major Group]]&lt;&gt;"","n/a",IF(Table1[[#This Row],[Minor Group]]&lt;&gt;"","n/a",IF(Table1[[#This Row],[Broad Group]]&lt;&gt;"",Table1[[#This Row],[Broad Group]],I103)))</f>
        <v>13-1140</v>
      </c>
      <c r="J1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Occupation]],J103))))</f>
        <v>13-1141</v>
      </c>
      <c r="K104" s="2" t="str">
        <f>Table1[[#This Row],[Group Name]]</f>
        <v>Compensation, Benefits, and Job Analysis Specialists</v>
      </c>
    </row>
    <row r="105" spans="2:11" ht="30" x14ac:dyDescent="0.25">
      <c r="C105" s="1" t="s">
        <v>176</v>
      </c>
      <c r="E105" s="1" t="s">
        <v>177</v>
      </c>
      <c r="F1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5" s="2" t="str">
        <f>IF(Table1[[#This Row],[Type]]="Major",Table1[[#This Row],[Major Group]],G104)</f>
        <v>13-0000</v>
      </c>
      <c r="H105" s="2" t="str">
        <f>IF(Table1[[#This Row],[Major Group]]&lt;&gt;"","n/a",IF(Table1[[#This Row],[Minor Group]]&lt;&gt;"",Table1[[#This Row],[Minor Group]],H104))</f>
        <v>13-1000</v>
      </c>
      <c r="I105" s="2" t="str">
        <f>IF(Table1[[#This Row],[Major Group]]&lt;&gt;"","n/a",IF(Table1[[#This Row],[Minor Group]]&lt;&gt;"","n/a",IF(Table1[[#This Row],[Broad Group]]&lt;&gt;"",Table1[[#This Row],[Broad Group]],I104)))</f>
        <v>13-1150</v>
      </c>
      <c r="J1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Occupation]],J104))))</f>
        <v>n/a</v>
      </c>
      <c r="K105" s="2" t="str">
        <f>Table1[[#This Row],[Group Name]]</f>
        <v>Training and Development Specialists</v>
      </c>
    </row>
    <row r="106" spans="2:11" x14ac:dyDescent="0.25">
      <c r="D106" s="5" t="s">
        <v>178</v>
      </c>
      <c r="E106" s="5" t="s">
        <v>177</v>
      </c>
      <c r="F1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" s="2" t="str">
        <f>IF(Table1[[#This Row],[Type]]="Major",Table1[[#This Row],[Major Group]],G105)</f>
        <v>13-0000</v>
      </c>
      <c r="H106" s="2" t="str">
        <f>IF(Table1[[#This Row],[Major Group]]&lt;&gt;"","n/a",IF(Table1[[#This Row],[Minor Group]]&lt;&gt;"",Table1[[#This Row],[Minor Group]],H105))</f>
        <v>13-1000</v>
      </c>
      <c r="I106" s="2" t="str">
        <f>IF(Table1[[#This Row],[Major Group]]&lt;&gt;"","n/a",IF(Table1[[#This Row],[Minor Group]]&lt;&gt;"","n/a",IF(Table1[[#This Row],[Broad Group]]&lt;&gt;"",Table1[[#This Row],[Broad Group]],I105)))</f>
        <v>13-1150</v>
      </c>
      <c r="J1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Occupation]],J105))))</f>
        <v>13-1151</v>
      </c>
      <c r="K106" s="2" t="str">
        <f>Table1[[#This Row],[Group Name]]</f>
        <v>Training and Development Specialists</v>
      </c>
    </row>
    <row r="107" spans="2:11" ht="30" x14ac:dyDescent="0.25">
      <c r="C107" s="1" t="s">
        <v>179</v>
      </c>
      <c r="E107" s="1" t="s">
        <v>180</v>
      </c>
      <c r="F1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7" s="2" t="str">
        <f>IF(Table1[[#This Row],[Type]]="Major",Table1[[#This Row],[Major Group]],G106)</f>
        <v>13-0000</v>
      </c>
      <c r="H107" s="2" t="str">
        <f>IF(Table1[[#This Row],[Major Group]]&lt;&gt;"","n/a",IF(Table1[[#This Row],[Minor Group]]&lt;&gt;"",Table1[[#This Row],[Minor Group]],H106))</f>
        <v>13-1000</v>
      </c>
      <c r="I107" s="2" t="str">
        <f>IF(Table1[[#This Row],[Major Group]]&lt;&gt;"","n/a",IF(Table1[[#This Row],[Minor Group]]&lt;&gt;"","n/a",IF(Table1[[#This Row],[Broad Group]]&lt;&gt;"",Table1[[#This Row],[Broad Group]],I106)))</f>
        <v>13-1160</v>
      </c>
      <c r="J1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Occupation]],J106))))</f>
        <v>n/a</v>
      </c>
      <c r="K107" s="2" t="str">
        <f>Table1[[#This Row],[Group Name]]</f>
        <v>Market Research Analysts and Marketing Specialists</v>
      </c>
    </row>
    <row r="108" spans="2:11" ht="25.5" x14ac:dyDescent="0.25">
      <c r="D108" s="5" t="s">
        <v>181</v>
      </c>
      <c r="E108" s="5" t="s">
        <v>180</v>
      </c>
      <c r="F1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8" s="2" t="str">
        <f>IF(Table1[[#This Row],[Type]]="Major",Table1[[#This Row],[Major Group]],G107)</f>
        <v>13-0000</v>
      </c>
      <c r="H108" s="2" t="str">
        <f>IF(Table1[[#This Row],[Major Group]]&lt;&gt;"","n/a",IF(Table1[[#This Row],[Minor Group]]&lt;&gt;"",Table1[[#This Row],[Minor Group]],H107))</f>
        <v>13-1000</v>
      </c>
      <c r="I108" s="2" t="str">
        <f>IF(Table1[[#This Row],[Major Group]]&lt;&gt;"","n/a",IF(Table1[[#This Row],[Minor Group]]&lt;&gt;"","n/a",IF(Table1[[#This Row],[Broad Group]]&lt;&gt;"",Table1[[#This Row],[Broad Group]],I107)))</f>
        <v>13-1160</v>
      </c>
      <c r="J1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Occupation]],J107))))</f>
        <v>13-1161</v>
      </c>
      <c r="K108" s="2" t="str">
        <f>Table1[[#This Row],[Group Name]]</f>
        <v>Market Research Analysts and Marketing Specialists</v>
      </c>
    </row>
    <row r="109" spans="2:11" ht="30" x14ac:dyDescent="0.25">
      <c r="C109" s="1" t="s">
        <v>182</v>
      </c>
      <c r="E109" s="1" t="s">
        <v>183</v>
      </c>
      <c r="F1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9" s="2" t="str">
        <f>IF(Table1[[#This Row],[Type]]="Major",Table1[[#This Row],[Major Group]],G108)</f>
        <v>13-0000</v>
      </c>
      <c r="H109" s="2" t="str">
        <f>IF(Table1[[#This Row],[Major Group]]&lt;&gt;"","n/a",IF(Table1[[#This Row],[Minor Group]]&lt;&gt;"",Table1[[#This Row],[Minor Group]],H108))</f>
        <v>13-1000</v>
      </c>
      <c r="I109" s="2" t="str">
        <f>IF(Table1[[#This Row],[Major Group]]&lt;&gt;"","n/a",IF(Table1[[#This Row],[Minor Group]]&lt;&gt;"","n/a",IF(Table1[[#This Row],[Broad Group]]&lt;&gt;"",Table1[[#This Row],[Broad Group]],I108)))</f>
        <v>13-1190</v>
      </c>
      <c r="J1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Occupation]],J108))))</f>
        <v>n/a</v>
      </c>
      <c r="K109" s="2" t="str">
        <f>Table1[[#This Row],[Group Name]]</f>
        <v>Miscellaneous Business Operations Specialists</v>
      </c>
    </row>
    <row r="110" spans="2:11" ht="25.5" x14ac:dyDescent="0.25">
      <c r="D110" s="5" t="s">
        <v>184</v>
      </c>
      <c r="E110" s="5" t="s">
        <v>185</v>
      </c>
      <c r="F1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" s="2" t="str">
        <f>IF(Table1[[#This Row],[Type]]="Major",Table1[[#This Row],[Major Group]],G109)</f>
        <v>13-0000</v>
      </c>
      <c r="H110" s="2" t="str">
        <f>IF(Table1[[#This Row],[Major Group]]&lt;&gt;"","n/a",IF(Table1[[#This Row],[Minor Group]]&lt;&gt;"",Table1[[#This Row],[Minor Group]],H109))</f>
        <v>13-1000</v>
      </c>
      <c r="I110" s="2" t="str">
        <f>IF(Table1[[#This Row],[Major Group]]&lt;&gt;"","n/a",IF(Table1[[#This Row],[Minor Group]]&lt;&gt;"","n/a",IF(Table1[[#This Row],[Broad Group]]&lt;&gt;"",Table1[[#This Row],[Broad Group]],I109)))</f>
        <v>13-1190</v>
      </c>
      <c r="J1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Occupation]],J109))))</f>
        <v>13-1199</v>
      </c>
      <c r="K110" s="2" t="str">
        <f>Table1[[#This Row],[Group Name]]</f>
        <v>Business Operations Specialists, All Other</v>
      </c>
    </row>
    <row r="111" spans="2:11" x14ac:dyDescent="0.25">
      <c r="B111" s="3" t="s">
        <v>186</v>
      </c>
      <c r="E111" s="3" t="s">
        <v>187</v>
      </c>
      <c r="F1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11" s="2" t="str">
        <f>IF(Table1[[#This Row],[Type]]="Major",Table1[[#This Row],[Major Group]],G110)</f>
        <v>13-0000</v>
      </c>
      <c r="H111" s="2" t="str">
        <f>IF(Table1[[#This Row],[Major Group]]&lt;&gt;"","n/a",IF(Table1[[#This Row],[Minor Group]]&lt;&gt;"",Table1[[#This Row],[Minor Group]],H110))</f>
        <v>13-2000</v>
      </c>
      <c r="I111" s="2" t="str">
        <f>IF(Table1[[#This Row],[Major Group]]&lt;&gt;"","n/a",IF(Table1[[#This Row],[Minor Group]]&lt;&gt;"","n/a",IF(Table1[[#This Row],[Broad Group]]&lt;&gt;"",Table1[[#This Row],[Broad Group]],I110)))</f>
        <v>n/a</v>
      </c>
      <c r="J1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Occupation]],J110))))</f>
        <v>n/a</v>
      </c>
      <c r="K111" s="2" t="str">
        <f>Table1[[#This Row],[Group Name]]</f>
        <v>Financial Specialists</v>
      </c>
    </row>
    <row r="112" spans="2:11" x14ac:dyDescent="0.25">
      <c r="C112" s="1" t="s">
        <v>188</v>
      </c>
      <c r="E112" s="1" t="s">
        <v>189</v>
      </c>
      <c r="F1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2" s="2" t="str">
        <f>IF(Table1[[#This Row],[Type]]="Major",Table1[[#This Row],[Major Group]],G111)</f>
        <v>13-0000</v>
      </c>
      <c r="H112" s="2" t="str">
        <f>IF(Table1[[#This Row],[Major Group]]&lt;&gt;"","n/a",IF(Table1[[#This Row],[Minor Group]]&lt;&gt;"",Table1[[#This Row],[Minor Group]],H111))</f>
        <v>13-2000</v>
      </c>
      <c r="I112" s="2" t="str">
        <f>IF(Table1[[#This Row],[Major Group]]&lt;&gt;"","n/a",IF(Table1[[#This Row],[Minor Group]]&lt;&gt;"","n/a",IF(Table1[[#This Row],[Broad Group]]&lt;&gt;"",Table1[[#This Row],[Broad Group]],I111)))</f>
        <v>13-2010</v>
      </c>
      <c r="J1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Occupation]],J111))))</f>
        <v>n/a</v>
      </c>
      <c r="K112" s="2" t="str">
        <f>Table1[[#This Row],[Group Name]]</f>
        <v>Accountants and Auditors</v>
      </c>
    </row>
    <row r="113" spans="3:11" x14ac:dyDescent="0.25">
      <c r="D113" s="5" t="s">
        <v>190</v>
      </c>
      <c r="E113" s="5" t="s">
        <v>189</v>
      </c>
      <c r="F1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" s="2" t="str">
        <f>IF(Table1[[#This Row],[Type]]="Major",Table1[[#This Row],[Major Group]],G112)</f>
        <v>13-0000</v>
      </c>
      <c r="H113" s="2" t="str">
        <f>IF(Table1[[#This Row],[Major Group]]&lt;&gt;"","n/a",IF(Table1[[#This Row],[Minor Group]]&lt;&gt;"",Table1[[#This Row],[Minor Group]],H112))</f>
        <v>13-2000</v>
      </c>
      <c r="I113" s="2" t="str">
        <f>IF(Table1[[#This Row],[Major Group]]&lt;&gt;"","n/a",IF(Table1[[#This Row],[Minor Group]]&lt;&gt;"","n/a",IF(Table1[[#This Row],[Broad Group]]&lt;&gt;"",Table1[[#This Row],[Broad Group]],I112)))</f>
        <v>13-2010</v>
      </c>
      <c r="J1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Occupation]],J112))))</f>
        <v>13-2011</v>
      </c>
      <c r="K113" s="2" t="str">
        <f>Table1[[#This Row],[Group Name]]</f>
        <v>Accountants and Auditors</v>
      </c>
    </row>
    <row r="114" spans="3:11" x14ac:dyDescent="0.25">
      <c r="C114" s="1" t="s">
        <v>191</v>
      </c>
      <c r="E114" s="1" t="s">
        <v>192</v>
      </c>
      <c r="F1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4" s="2" t="str">
        <f>IF(Table1[[#This Row],[Type]]="Major",Table1[[#This Row],[Major Group]],G113)</f>
        <v>13-0000</v>
      </c>
      <c r="H114" s="2" t="str">
        <f>IF(Table1[[#This Row],[Major Group]]&lt;&gt;"","n/a",IF(Table1[[#This Row],[Minor Group]]&lt;&gt;"",Table1[[#This Row],[Minor Group]],H113))</f>
        <v>13-2000</v>
      </c>
      <c r="I114" s="2" t="str">
        <f>IF(Table1[[#This Row],[Major Group]]&lt;&gt;"","n/a",IF(Table1[[#This Row],[Minor Group]]&lt;&gt;"","n/a",IF(Table1[[#This Row],[Broad Group]]&lt;&gt;"",Table1[[#This Row],[Broad Group]],I113)))</f>
        <v>13-2020</v>
      </c>
      <c r="J1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Occupation]],J113))))</f>
        <v>n/a</v>
      </c>
      <c r="K114" s="2" t="str">
        <f>Table1[[#This Row],[Group Name]]</f>
        <v>Property Appraisers and Assessors</v>
      </c>
    </row>
    <row r="115" spans="3:11" ht="25.5" x14ac:dyDescent="0.25">
      <c r="D115" s="5" t="s">
        <v>193</v>
      </c>
      <c r="E115" s="5" t="s">
        <v>194</v>
      </c>
      <c r="F1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" s="2" t="str">
        <f>IF(Table1[[#This Row],[Type]]="Major",Table1[[#This Row],[Major Group]],G114)</f>
        <v>13-0000</v>
      </c>
      <c r="H115" s="2" t="str">
        <f>IF(Table1[[#This Row],[Major Group]]&lt;&gt;"","n/a",IF(Table1[[#This Row],[Minor Group]]&lt;&gt;"",Table1[[#This Row],[Minor Group]],H114))</f>
        <v>13-2000</v>
      </c>
      <c r="I115" s="2" t="str">
        <f>IF(Table1[[#This Row],[Major Group]]&lt;&gt;"","n/a",IF(Table1[[#This Row],[Minor Group]]&lt;&gt;"","n/a",IF(Table1[[#This Row],[Broad Group]]&lt;&gt;"",Table1[[#This Row],[Broad Group]],I114)))</f>
        <v>13-2020</v>
      </c>
      <c r="J1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Occupation]],J114))))</f>
        <v>13-2022</v>
      </c>
      <c r="K115" s="2" t="str">
        <f>Table1[[#This Row],[Group Name]]</f>
        <v>Appraisers of Personal and Business Property</v>
      </c>
    </row>
    <row r="116" spans="3:11" ht="25.5" x14ac:dyDescent="0.25">
      <c r="D116" s="5" t="s">
        <v>195</v>
      </c>
      <c r="E116" s="5" t="s">
        <v>196</v>
      </c>
      <c r="F1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6" s="2" t="str">
        <f>IF(Table1[[#This Row],[Type]]="Major",Table1[[#This Row],[Major Group]],G115)</f>
        <v>13-0000</v>
      </c>
      <c r="H116" s="2" t="str">
        <f>IF(Table1[[#This Row],[Major Group]]&lt;&gt;"","n/a",IF(Table1[[#This Row],[Minor Group]]&lt;&gt;"",Table1[[#This Row],[Minor Group]],H115))</f>
        <v>13-2000</v>
      </c>
      <c r="I116" s="2" t="str">
        <f>IF(Table1[[#This Row],[Major Group]]&lt;&gt;"","n/a",IF(Table1[[#This Row],[Minor Group]]&lt;&gt;"","n/a",IF(Table1[[#This Row],[Broad Group]]&lt;&gt;"",Table1[[#This Row],[Broad Group]],I115)))</f>
        <v>13-2020</v>
      </c>
      <c r="J1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Occupation]],J115))))</f>
        <v>13-2023</v>
      </c>
      <c r="K116" s="2" t="str">
        <f>Table1[[#This Row],[Group Name]]</f>
        <v>Appraisers and Assessors of Real Estate</v>
      </c>
    </row>
    <row r="117" spans="3:11" x14ac:dyDescent="0.25">
      <c r="C117" s="1" t="s">
        <v>197</v>
      </c>
      <c r="E117" s="1" t="s">
        <v>198</v>
      </c>
      <c r="F1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7" s="2" t="str">
        <f>IF(Table1[[#This Row],[Type]]="Major",Table1[[#This Row],[Major Group]],G116)</f>
        <v>13-0000</v>
      </c>
      <c r="H117" s="2" t="str">
        <f>IF(Table1[[#This Row],[Major Group]]&lt;&gt;"","n/a",IF(Table1[[#This Row],[Minor Group]]&lt;&gt;"",Table1[[#This Row],[Minor Group]],H116))</f>
        <v>13-2000</v>
      </c>
      <c r="I117" s="2" t="str">
        <f>IF(Table1[[#This Row],[Major Group]]&lt;&gt;"","n/a",IF(Table1[[#This Row],[Minor Group]]&lt;&gt;"","n/a",IF(Table1[[#This Row],[Broad Group]]&lt;&gt;"",Table1[[#This Row],[Broad Group]],I116)))</f>
        <v>13-2030</v>
      </c>
      <c r="J1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Occupation]],J116))))</f>
        <v>n/a</v>
      </c>
      <c r="K117" s="2" t="str">
        <f>Table1[[#This Row],[Group Name]]</f>
        <v>Budget Analysts</v>
      </c>
    </row>
    <row r="118" spans="3:11" x14ac:dyDescent="0.25">
      <c r="D118" s="5" t="s">
        <v>199</v>
      </c>
      <c r="E118" s="5" t="s">
        <v>198</v>
      </c>
      <c r="F1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8" s="2" t="str">
        <f>IF(Table1[[#This Row],[Type]]="Major",Table1[[#This Row],[Major Group]],G117)</f>
        <v>13-0000</v>
      </c>
      <c r="H118" s="2" t="str">
        <f>IF(Table1[[#This Row],[Major Group]]&lt;&gt;"","n/a",IF(Table1[[#This Row],[Minor Group]]&lt;&gt;"",Table1[[#This Row],[Minor Group]],H117))</f>
        <v>13-2000</v>
      </c>
      <c r="I118" s="2" t="str">
        <f>IF(Table1[[#This Row],[Major Group]]&lt;&gt;"","n/a",IF(Table1[[#This Row],[Minor Group]]&lt;&gt;"","n/a",IF(Table1[[#This Row],[Broad Group]]&lt;&gt;"",Table1[[#This Row],[Broad Group]],I117)))</f>
        <v>13-2030</v>
      </c>
      <c r="J1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Occupation]],J117))))</f>
        <v>13-2031</v>
      </c>
      <c r="K118" s="2" t="str">
        <f>Table1[[#This Row],[Group Name]]</f>
        <v>Budget Analysts</v>
      </c>
    </row>
    <row r="119" spans="3:11" x14ac:dyDescent="0.25">
      <c r="C119" s="1" t="s">
        <v>200</v>
      </c>
      <c r="E119" s="1" t="s">
        <v>201</v>
      </c>
      <c r="F1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9" s="2" t="str">
        <f>IF(Table1[[#This Row],[Type]]="Major",Table1[[#This Row],[Major Group]],G118)</f>
        <v>13-0000</v>
      </c>
      <c r="H119" s="2" t="str">
        <f>IF(Table1[[#This Row],[Major Group]]&lt;&gt;"","n/a",IF(Table1[[#This Row],[Minor Group]]&lt;&gt;"",Table1[[#This Row],[Minor Group]],H118))</f>
        <v>13-2000</v>
      </c>
      <c r="I119" s="2" t="str">
        <f>IF(Table1[[#This Row],[Major Group]]&lt;&gt;"","n/a",IF(Table1[[#This Row],[Minor Group]]&lt;&gt;"","n/a",IF(Table1[[#This Row],[Broad Group]]&lt;&gt;"",Table1[[#This Row],[Broad Group]],I118)))</f>
        <v>13-2040</v>
      </c>
      <c r="J1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Occupation]],J118))))</f>
        <v>n/a</v>
      </c>
      <c r="K119" s="2" t="str">
        <f>Table1[[#This Row],[Group Name]]</f>
        <v>Credit Analysts</v>
      </c>
    </row>
    <row r="120" spans="3:11" x14ac:dyDescent="0.25">
      <c r="D120" s="5" t="s">
        <v>202</v>
      </c>
      <c r="E120" s="5" t="s">
        <v>201</v>
      </c>
      <c r="F1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" s="2" t="str">
        <f>IF(Table1[[#This Row],[Type]]="Major",Table1[[#This Row],[Major Group]],G119)</f>
        <v>13-0000</v>
      </c>
      <c r="H120" s="2" t="str">
        <f>IF(Table1[[#This Row],[Major Group]]&lt;&gt;"","n/a",IF(Table1[[#This Row],[Minor Group]]&lt;&gt;"",Table1[[#This Row],[Minor Group]],H119))</f>
        <v>13-2000</v>
      </c>
      <c r="I120" s="2" t="str">
        <f>IF(Table1[[#This Row],[Major Group]]&lt;&gt;"","n/a",IF(Table1[[#This Row],[Minor Group]]&lt;&gt;"","n/a",IF(Table1[[#This Row],[Broad Group]]&lt;&gt;"",Table1[[#This Row],[Broad Group]],I119)))</f>
        <v>13-2040</v>
      </c>
      <c r="J1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Occupation]],J119))))</f>
        <v>13-2041</v>
      </c>
      <c r="K120" s="2" t="str">
        <f>Table1[[#This Row],[Group Name]]</f>
        <v>Credit Analysts</v>
      </c>
    </row>
    <row r="121" spans="3:11" x14ac:dyDescent="0.25">
      <c r="C121" s="1" t="s">
        <v>203</v>
      </c>
      <c r="E121" s="1" t="s">
        <v>204</v>
      </c>
      <c r="F1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1" s="2" t="str">
        <f>IF(Table1[[#This Row],[Type]]="Major",Table1[[#This Row],[Major Group]],G120)</f>
        <v>13-0000</v>
      </c>
      <c r="H121" s="2" t="str">
        <f>IF(Table1[[#This Row],[Major Group]]&lt;&gt;"","n/a",IF(Table1[[#This Row],[Minor Group]]&lt;&gt;"",Table1[[#This Row],[Minor Group]],H120))</f>
        <v>13-2000</v>
      </c>
      <c r="I121" s="2" t="str">
        <f>IF(Table1[[#This Row],[Major Group]]&lt;&gt;"","n/a",IF(Table1[[#This Row],[Minor Group]]&lt;&gt;"","n/a",IF(Table1[[#This Row],[Broad Group]]&lt;&gt;"",Table1[[#This Row],[Broad Group]],I120)))</f>
        <v>13-2050</v>
      </c>
      <c r="J1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Occupation]],J120))))</f>
        <v>n/a</v>
      </c>
      <c r="K121" s="2" t="str">
        <f>Table1[[#This Row],[Group Name]]</f>
        <v>Financial Analysts and Advisors</v>
      </c>
    </row>
    <row r="122" spans="3:11" x14ac:dyDescent="0.25">
      <c r="D122" s="5" t="s">
        <v>205</v>
      </c>
      <c r="E122" s="5" t="s">
        <v>206</v>
      </c>
      <c r="F1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" s="2" t="str">
        <f>IF(Table1[[#This Row],[Type]]="Major",Table1[[#This Row],[Major Group]],G121)</f>
        <v>13-0000</v>
      </c>
      <c r="H122" s="2" t="str">
        <f>IF(Table1[[#This Row],[Major Group]]&lt;&gt;"","n/a",IF(Table1[[#This Row],[Minor Group]]&lt;&gt;"",Table1[[#This Row],[Minor Group]],H121))</f>
        <v>13-2000</v>
      </c>
      <c r="I122" s="2" t="str">
        <f>IF(Table1[[#This Row],[Major Group]]&lt;&gt;"","n/a",IF(Table1[[#This Row],[Minor Group]]&lt;&gt;"","n/a",IF(Table1[[#This Row],[Broad Group]]&lt;&gt;"",Table1[[#This Row],[Broad Group]],I121)))</f>
        <v>13-2050</v>
      </c>
      <c r="J1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Occupation]],J121))))</f>
        <v>13-2051</v>
      </c>
      <c r="K122" s="2" t="str">
        <f>Table1[[#This Row],[Group Name]]</f>
        <v>Financial and Investment Analysts</v>
      </c>
    </row>
    <row r="123" spans="3:11" x14ac:dyDescent="0.25">
      <c r="D123" s="5" t="s">
        <v>207</v>
      </c>
      <c r="E123" s="5" t="s">
        <v>208</v>
      </c>
      <c r="F1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3" s="2" t="str">
        <f>IF(Table1[[#This Row],[Type]]="Major",Table1[[#This Row],[Major Group]],G122)</f>
        <v>13-0000</v>
      </c>
      <c r="H123" s="2" t="str">
        <f>IF(Table1[[#This Row],[Major Group]]&lt;&gt;"","n/a",IF(Table1[[#This Row],[Minor Group]]&lt;&gt;"",Table1[[#This Row],[Minor Group]],H122))</f>
        <v>13-2000</v>
      </c>
      <c r="I123" s="2" t="str">
        <f>IF(Table1[[#This Row],[Major Group]]&lt;&gt;"","n/a",IF(Table1[[#This Row],[Minor Group]]&lt;&gt;"","n/a",IF(Table1[[#This Row],[Broad Group]]&lt;&gt;"",Table1[[#This Row],[Broad Group]],I122)))</f>
        <v>13-2050</v>
      </c>
      <c r="J1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Occupation]],J122))))</f>
        <v>13-2052</v>
      </c>
      <c r="K123" s="2" t="str">
        <f>Table1[[#This Row],[Group Name]]</f>
        <v>Personal Financial Advisors</v>
      </c>
    </row>
    <row r="124" spans="3:11" x14ac:dyDescent="0.25">
      <c r="D124" s="5" t="s">
        <v>209</v>
      </c>
      <c r="E124" s="5" t="s">
        <v>210</v>
      </c>
      <c r="F1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" s="2" t="str">
        <f>IF(Table1[[#This Row],[Type]]="Major",Table1[[#This Row],[Major Group]],G123)</f>
        <v>13-0000</v>
      </c>
      <c r="H124" s="2" t="str">
        <f>IF(Table1[[#This Row],[Major Group]]&lt;&gt;"","n/a",IF(Table1[[#This Row],[Minor Group]]&lt;&gt;"",Table1[[#This Row],[Minor Group]],H123))</f>
        <v>13-2000</v>
      </c>
      <c r="I124" s="2" t="str">
        <f>IF(Table1[[#This Row],[Major Group]]&lt;&gt;"","n/a",IF(Table1[[#This Row],[Minor Group]]&lt;&gt;"","n/a",IF(Table1[[#This Row],[Broad Group]]&lt;&gt;"",Table1[[#This Row],[Broad Group]],I123)))</f>
        <v>13-2050</v>
      </c>
      <c r="J1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Occupation]],J123))))</f>
        <v>13-2053</v>
      </c>
      <c r="K124" s="2" t="str">
        <f>Table1[[#This Row],[Group Name]]</f>
        <v>Insurance Underwriters</v>
      </c>
    </row>
    <row r="125" spans="3:11" x14ac:dyDescent="0.25">
      <c r="D125" s="5" t="s">
        <v>211</v>
      </c>
      <c r="E125" s="5" t="s">
        <v>212</v>
      </c>
      <c r="F1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" s="2" t="str">
        <f>IF(Table1[[#This Row],[Type]]="Major",Table1[[#This Row],[Major Group]],G124)</f>
        <v>13-0000</v>
      </c>
      <c r="H125" s="2" t="str">
        <f>IF(Table1[[#This Row],[Major Group]]&lt;&gt;"","n/a",IF(Table1[[#This Row],[Minor Group]]&lt;&gt;"",Table1[[#This Row],[Minor Group]],H124))</f>
        <v>13-2000</v>
      </c>
      <c r="I125" s="2" t="str">
        <f>IF(Table1[[#This Row],[Major Group]]&lt;&gt;"","n/a",IF(Table1[[#This Row],[Minor Group]]&lt;&gt;"","n/a",IF(Table1[[#This Row],[Broad Group]]&lt;&gt;"",Table1[[#This Row],[Broad Group]],I124)))</f>
        <v>13-2050</v>
      </c>
      <c r="J1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Occupation]],J124))))</f>
        <v>13-2054</v>
      </c>
      <c r="K125" s="2" t="str">
        <f>Table1[[#This Row],[Group Name]]</f>
        <v>Financial Risk Specialists</v>
      </c>
    </row>
    <row r="126" spans="3:11" x14ac:dyDescent="0.25">
      <c r="C126" s="1" t="s">
        <v>213</v>
      </c>
      <c r="E126" s="1" t="s">
        <v>214</v>
      </c>
      <c r="F1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6" s="2" t="str">
        <f>IF(Table1[[#This Row],[Type]]="Major",Table1[[#This Row],[Major Group]],G125)</f>
        <v>13-0000</v>
      </c>
      <c r="H126" s="2" t="str">
        <f>IF(Table1[[#This Row],[Major Group]]&lt;&gt;"","n/a",IF(Table1[[#This Row],[Minor Group]]&lt;&gt;"",Table1[[#This Row],[Minor Group]],H125))</f>
        <v>13-2000</v>
      </c>
      <c r="I126" s="2" t="str">
        <f>IF(Table1[[#This Row],[Major Group]]&lt;&gt;"","n/a",IF(Table1[[#This Row],[Minor Group]]&lt;&gt;"","n/a",IF(Table1[[#This Row],[Broad Group]]&lt;&gt;"",Table1[[#This Row],[Broad Group]],I125)))</f>
        <v>13-2060</v>
      </c>
      <c r="J1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Occupation]],J125))))</f>
        <v>n/a</v>
      </c>
      <c r="K126" s="2" t="str">
        <f>Table1[[#This Row],[Group Name]]</f>
        <v>Financial Examiners</v>
      </c>
    </row>
    <row r="127" spans="3:11" x14ac:dyDescent="0.25">
      <c r="D127" s="5" t="s">
        <v>215</v>
      </c>
      <c r="E127" s="5" t="s">
        <v>214</v>
      </c>
      <c r="F1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7" s="2" t="str">
        <f>IF(Table1[[#This Row],[Type]]="Major",Table1[[#This Row],[Major Group]],G126)</f>
        <v>13-0000</v>
      </c>
      <c r="H127" s="2" t="str">
        <f>IF(Table1[[#This Row],[Major Group]]&lt;&gt;"","n/a",IF(Table1[[#This Row],[Minor Group]]&lt;&gt;"",Table1[[#This Row],[Minor Group]],H126))</f>
        <v>13-2000</v>
      </c>
      <c r="I127" s="2" t="str">
        <f>IF(Table1[[#This Row],[Major Group]]&lt;&gt;"","n/a",IF(Table1[[#This Row],[Minor Group]]&lt;&gt;"","n/a",IF(Table1[[#This Row],[Broad Group]]&lt;&gt;"",Table1[[#This Row],[Broad Group]],I126)))</f>
        <v>13-2060</v>
      </c>
      <c r="J1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Occupation]],J126))))</f>
        <v>13-2061</v>
      </c>
      <c r="K127" s="2" t="str">
        <f>Table1[[#This Row],[Group Name]]</f>
        <v>Financial Examiners</v>
      </c>
    </row>
    <row r="128" spans="3:11" ht="30" x14ac:dyDescent="0.25">
      <c r="C128" s="1" t="s">
        <v>216</v>
      </c>
      <c r="E128" s="1" t="s">
        <v>217</v>
      </c>
      <c r="F1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8" s="2" t="str">
        <f>IF(Table1[[#This Row],[Type]]="Major",Table1[[#This Row],[Major Group]],G127)</f>
        <v>13-0000</v>
      </c>
      <c r="H128" s="2" t="str">
        <f>IF(Table1[[#This Row],[Major Group]]&lt;&gt;"","n/a",IF(Table1[[#This Row],[Minor Group]]&lt;&gt;"",Table1[[#This Row],[Minor Group]],H127))</f>
        <v>13-2000</v>
      </c>
      <c r="I128" s="2" t="str">
        <f>IF(Table1[[#This Row],[Major Group]]&lt;&gt;"","n/a",IF(Table1[[#This Row],[Minor Group]]&lt;&gt;"","n/a",IF(Table1[[#This Row],[Broad Group]]&lt;&gt;"",Table1[[#This Row],[Broad Group]],I127)))</f>
        <v>13-2070</v>
      </c>
      <c r="J1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Occupation]],J127))))</f>
        <v>n/a</v>
      </c>
      <c r="K128" s="2" t="str">
        <f>Table1[[#This Row],[Group Name]]</f>
        <v>Credit Counselors and Loan Officers</v>
      </c>
    </row>
    <row r="129" spans="1:11" x14ac:dyDescent="0.25">
      <c r="D129" s="5" t="s">
        <v>218</v>
      </c>
      <c r="E129" s="5" t="s">
        <v>219</v>
      </c>
      <c r="F1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9" s="2" t="str">
        <f>IF(Table1[[#This Row],[Type]]="Major",Table1[[#This Row],[Major Group]],G128)</f>
        <v>13-0000</v>
      </c>
      <c r="H129" s="2" t="str">
        <f>IF(Table1[[#This Row],[Major Group]]&lt;&gt;"","n/a",IF(Table1[[#This Row],[Minor Group]]&lt;&gt;"",Table1[[#This Row],[Minor Group]],H128))</f>
        <v>13-2000</v>
      </c>
      <c r="I129" s="2" t="str">
        <f>IF(Table1[[#This Row],[Major Group]]&lt;&gt;"","n/a",IF(Table1[[#This Row],[Minor Group]]&lt;&gt;"","n/a",IF(Table1[[#This Row],[Broad Group]]&lt;&gt;"",Table1[[#This Row],[Broad Group]],I128)))</f>
        <v>13-2070</v>
      </c>
      <c r="J1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Occupation]],J128))))</f>
        <v>13-2071</v>
      </c>
      <c r="K129" s="2" t="str">
        <f>Table1[[#This Row],[Group Name]]</f>
        <v>Credit Counselors</v>
      </c>
    </row>
    <row r="130" spans="1:11" x14ac:dyDescent="0.25">
      <c r="D130" s="5" t="s">
        <v>220</v>
      </c>
      <c r="E130" s="5" t="s">
        <v>221</v>
      </c>
      <c r="F1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0" s="2" t="str">
        <f>IF(Table1[[#This Row],[Type]]="Major",Table1[[#This Row],[Major Group]],G129)</f>
        <v>13-0000</v>
      </c>
      <c r="H130" s="2" t="str">
        <f>IF(Table1[[#This Row],[Major Group]]&lt;&gt;"","n/a",IF(Table1[[#This Row],[Minor Group]]&lt;&gt;"",Table1[[#This Row],[Minor Group]],H129))</f>
        <v>13-2000</v>
      </c>
      <c r="I130" s="2" t="str">
        <f>IF(Table1[[#This Row],[Major Group]]&lt;&gt;"","n/a",IF(Table1[[#This Row],[Minor Group]]&lt;&gt;"","n/a",IF(Table1[[#This Row],[Broad Group]]&lt;&gt;"",Table1[[#This Row],[Broad Group]],I129)))</f>
        <v>13-2070</v>
      </c>
      <c r="J1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Occupation]],J129))))</f>
        <v>13-2072</v>
      </c>
      <c r="K130" s="2" t="str">
        <f>Table1[[#This Row],[Group Name]]</f>
        <v>Loan Officers</v>
      </c>
    </row>
    <row r="131" spans="1:11" ht="30" x14ac:dyDescent="0.25">
      <c r="C131" s="1" t="s">
        <v>222</v>
      </c>
      <c r="E131" s="1" t="s">
        <v>223</v>
      </c>
      <c r="F1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1" s="2" t="str">
        <f>IF(Table1[[#This Row],[Type]]="Major",Table1[[#This Row],[Major Group]],G130)</f>
        <v>13-0000</v>
      </c>
      <c r="H131" s="2" t="str">
        <f>IF(Table1[[#This Row],[Major Group]]&lt;&gt;"","n/a",IF(Table1[[#This Row],[Minor Group]]&lt;&gt;"",Table1[[#This Row],[Minor Group]],H130))</f>
        <v>13-2000</v>
      </c>
      <c r="I131" s="2" t="str">
        <f>IF(Table1[[#This Row],[Major Group]]&lt;&gt;"","n/a",IF(Table1[[#This Row],[Minor Group]]&lt;&gt;"","n/a",IF(Table1[[#This Row],[Broad Group]]&lt;&gt;"",Table1[[#This Row],[Broad Group]],I130)))</f>
        <v>13-2080</v>
      </c>
      <c r="J1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Occupation]],J130))))</f>
        <v>n/a</v>
      </c>
      <c r="K131" s="2" t="str">
        <f>Table1[[#This Row],[Group Name]]</f>
        <v>Tax Examiners, Collectors and Preparers, and Revenue Agents</v>
      </c>
    </row>
    <row r="132" spans="1:11" ht="25.5" x14ac:dyDescent="0.25">
      <c r="D132" s="5" t="s">
        <v>224</v>
      </c>
      <c r="E132" s="5" t="s">
        <v>225</v>
      </c>
      <c r="F1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" s="2" t="str">
        <f>IF(Table1[[#This Row],[Type]]="Major",Table1[[#This Row],[Major Group]],G131)</f>
        <v>13-0000</v>
      </c>
      <c r="H132" s="2" t="str">
        <f>IF(Table1[[#This Row],[Major Group]]&lt;&gt;"","n/a",IF(Table1[[#This Row],[Minor Group]]&lt;&gt;"",Table1[[#This Row],[Minor Group]],H131))</f>
        <v>13-2000</v>
      </c>
      <c r="I132" s="2" t="str">
        <f>IF(Table1[[#This Row],[Major Group]]&lt;&gt;"","n/a",IF(Table1[[#This Row],[Minor Group]]&lt;&gt;"","n/a",IF(Table1[[#This Row],[Broad Group]]&lt;&gt;"",Table1[[#This Row],[Broad Group]],I131)))</f>
        <v>13-2080</v>
      </c>
      <c r="J1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Occupation]],J131))))</f>
        <v>13-2081</v>
      </c>
      <c r="K132" s="2" t="str">
        <f>Table1[[#This Row],[Group Name]]</f>
        <v>Tax Examiners and Collectors, and Revenue Agents</v>
      </c>
    </row>
    <row r="133" spans="1:11" x14ac:dyDescent="0.25">
      <c r="D133" s="5" t="s">
        <v>226</v>
      </c>
      <c r="E133" s="5" t="s">
        <v>227</v>
      </c>
      <c r="F1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3" s="2" t="str">
        <f>IF(Table1[[#This Row],[Type]]="Major",Table1[[#This Row],[Major Group]],G132)</f>
        <v>13-0000</v>
      </c>
      <c r="H133" s="2" t="str">
        <f>IF(Table1[[#This Row],[Major Group]]&lt;&gt;"","n/a",IF(Table1[[#This Row],[Minor Group]]&lt;&gt;"",Table1[[#This Row],[Minor Group]],H132))</f>
        <v>13-2000</v>
      </c>
      <c r="I133" s="2" t="str">
        <f>IF(Table1[[#This Row],[Major Group]]&lt;&gt;"","n/a",IF(Table1[[#This Row],[Minor Group]]&lt;&gt;"","n/a",IF(Table1[[#This Row],[Broad Group]]&lt;&gt;"",Table1[[#This Row],[Broad Group]],I132)))</f>
        <v>13-2080</v>
      </c>
      <c r="J1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Occupation]],J132))))</f>
        <v>13-2082</v>
      </c>
      <c r="K133" s="2" t="str">
        <f>Table1[[#This Row],[Group Name]]</f>
        <v>Tax Preparers</v>
      </c>
    </row>
    <row r="134" spans="1:11" ht="30" x14ac:dyDescent="0.25">
      <c r="C134" s="1" t="s">
        <v>228</v>
      </c>
      <c r="E134" s="1" t="s">
        <v>229</v>
      </c>
      <c r="F1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4" s="2" t="str">
        <f>IF(Table1[[#This Row],[Type]]="Major",Table1[[#This Row],[Major Group]],G133)</f>
        <v>13-0000</v>
      </c>
      <c r="H134" s="2" t="str">
        <f>IF(Table1[[#This Row],[Major Group]]&lt;&gt;"","n/a",IF(Table1[[#This Row],[Minor Group]]&lt;&gt;"",Table1[[#This Row],[Minor Group]],H133))</f>
        <v>13-2000</v>
      </c>
      <c r="I134" s="2" t="str">
        <f>IF(Table1[[#This Row],[Major Group]]&lt;&gt;"","n/a",IF(Table1[[#This Row],[Minor Group]]&lt;&gt;"","n/a",IF(Table1[[#This Row],[Broad Group]]&lt;&gt;"",Table1[[#This Row],[Broad Group]],I133)))</f>
        <v>13-2090</v>
      </c>
      <c r="J1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Occupation]],J133))))</f>
        <v>n/a</v>
      </c>
      <c r="K134" s="2" t="str">
        <f>Table1[[#This Row],[Group Name]]</f>
        <v>Miscellaneous Financial Specialists</v>
      </c>
    </row>
    <row r="135" spans="1:11" x14ac:dyDescent="0.25">
      <c r="D135" s="5" t="s">
        <v>230</v>
      </c>
      <c r="E135" s="5" t="s">
        <v>231</v>
      </c>
      <c r="F1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" s="2" t="str">
        <f>IF(Table1[[#This Row],[Type]]="Major",Table1[[#This Row],[Major Group]],G134)</f>
        <v>13-0000</v>
      </c>
      <c r="H135" s="2" t="str">
        <f>IF(Table1[[#This Row],[Major Group]]&lt;&gt;"","n/a",IF(Table1[[#This Row],[Minor Group]]&lt;&gt;"",Table1[[#This Row],[Minor Group]],H134))</f>
        <v>13-2000</v>
      </c>
      <c r="I135" s="2" t="str">
        <f>IF(Table1[[#This Row],[Major Group]]&lt;&gt;"","n/a",IF(Table1[[#This Row],[Minor Group]]&lt;&gt;"","n/a",IF(Table1[[#This Row],[Broad Group]]&lt;&gt;"",Table1[[#This Row],[Broad Group]],I134)))</f>
        <v>13-2090</v>
      </c>
      <c r="J1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Occupation]],J134))))</f>
        <v>13-2099</v>
      </c>
      <c r="K135" s="2" t="str">
        <f>Table1[[#This Row],[Group Name]]</f>
        <v>Financial Specialists, All Other</v>
      </c>
    </row>
    <row r="136" spans="1:11" ht="15.75" x14ac:dyDescent="0.25">
      <c r="A136" s="4" t="s">
        <v>232</v>
      </c>
      <c r="E136" s="4" t="s">
        <v>233</v>
      </c>
      <c r="F1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136" s="2" t="str">
        <f>IF(Table1[[#This Row],[Type]]="Major",Table1[[#This Row],[Major Group]],G135)</f>
        <v>15-0000</v>
      </c>
      <c r="H136" s="2" t="str">
        <f>IF(Table1[[#This Row],[Major Group]]&lt;&gt;"","n/a",IF(Table1[[#This Row],[Minor Group]]&lt;&gt;"",Table1[[#This Row],[Minor Group]],H135))</f>
        <v>n/a</v>
      </c>
      <c r="I136" s="2" t="str">
        <f>IF(Table1[[#This Row],[Major Group]]&lt;&gt;"","n/a",IF(Table1[[#This Row],[Minor Group]]&lt;&gt;"","n/a",IF(Table1[[#This Row],[Broad Group]]&lt;&gt;"",Table1[[#This Row],[Broad Group]],I135)))</f>
        <v>n/a</v>
      </c>
      <c r="J1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Occupation]],J135))))</f>
        <v>n/a</v>
      </c>
      <c r="K136" s="2" t="str">
        <f>Table1[[#This Row],[Group Name]]</f>
        <v>Computer and Mathematical Occupations</v>
      </c>
    </row>
    <row r="137" spans="1:11" x14ac:dyDescent="0.25">
      <c r="B137" s="3" t="s">
        <v>234</v>
      </c>
      <c r="E137" s="3" t="s">
        <v>235</v>
      </c>
      <c r="F1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7" s="2" t="str">
        <f>IF(Table1[[#This Row],[Type]]="Major",Table1[[#This Row],[Major Group]],G136)</f>
        <v>15-0000</v>
      </c>
      <c r="H137" s="2" t="str">
        <f>IF(Table1[[#This Row],[Major Group]]&lt;&gt;"","n/a",IF(Table1[[#This Row],[Minor Group]]&lt;&gt;"",Table1[[#This Row],[Minor Group]],H136))</f>
        <v>15-1200</v>
      </c>
      <c r="I137" s="2" t="str">
        <f>IF(Table1[[#This Row],[Major Group]]&lt;&gt;"","n/a",IF(Table1[[#This Row],[Minor Group]]&lt;&gt;"","n/a",IF(Table1[[#This Row],[Broad Group]]&lt;&gt;"",Table1[[#This Row],[Broad Group]],I136)))</f>
        <v>n/a</v>
      </c>
      <c r="J1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Occupation]],J136))))</f>
        <v>n/a</v>
      </c>
      <c r="K137" s="2" t="str">
        <f>Table1[[#This Row],[Group Name]]</f>
        <v>Computer Occupations</v>
      </c>
    </row>
    <row r="138" spans="1:11" ht="30" x14ac:dyDescent="0.25">
      <c r="C138" s="1" t="s">
        <v>236</v>
      </c>
      <c r="E138" s="1" t="s">
        <v>237</v>
      </c>
      <c r="F1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8" s="2" t="str">
        <f>IF(Table1[[#This Row],[Type]]="Major",Table1[[#This Row],[Major Group]],G137)</f>
        <v>15-0000</v>
      </c>
      <c r="H138" s="2" t="str">
        <f>IF(Table1[[#This Row],[Major Group]]&lt;&gt;"","n/a",IF(Table1[[#This Row],[Minor Group]]&lt;&gt;"",Table1[[#This Row],[Minor Group]],H137))</f>
        <v>15-1200</v>
      </c>
      <c r="I138" s="2" t="str">
        <f>IF(Table1[[#This Row],[Major Group]]&lt;&gt;"","n/a",IF(Table1[[#This Row],[Minor Group]]&lt;&gt;"","n/a",IF(Table1[[#This Row],[Broad Group]]&lt;&gt;"",Table1[[#This Row],[Broad Group]],I137)))</f>
        <v>15-1210</v>
      </c>
      <c r="J1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Occupation]],J137))))</f>
        <v>n/a</v>
      </c>
      <c r="K138" s="2" t="str">
        <f>Table1[[#This Row],[Group Name]]</f>
        <v>Computer and Information Analysts</v>
      </c>
    </row>
    <row r="139" spans="1:11" x14ac:dyDescent="0.25">
      <c r="D139" s="5" t="s">
        <v>238</v>
      </c>
      <c r="E139" s="5" t="s">
        <v>239</v>
      </c>
      <c r="F1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9" s="2" t="str">
        <f>IF(Table1[[#This Row],[Type]]="Major",Table1[[#This Row],[Major Group]],G138)</f>
        <v>15-0000</v>
      </c>
      <c r="H139" s="2" t="str">
        <f>IF(Table1[[#This Row],[Major Group]]&lt;&gt;"","n/a",IF(Table1[[#This Row],[Minor Group]]&lt;&gt;"",Table1[[#This Row],[Minor Group]],H138))</f>
        <v>15-1200</v>
      </c>
      <c r="I139" s="2" t="str">
        <f>IF(Table1[[#This Row],[Major Group]]&lt;&gt;"","n/a",IF(Table1[[#This Row],[Minor Group]]&lt;&gt;"","n/a",IF(Table1[[#This Row],[Broad Group]]&lt;&gt;"",Table1[[#This Row],[Broad Group]],I138)))</f>
        <v>15-1210</v>
      </c>
      <c r="J1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Occupation]],J138))))</f>
        <v>15-1211</v>
      </c>
      <c r="K139" s="2" t="str">
        <f>Table1[[#This Row],[Group Name]]</f>
        <v>Computer Systems Analysts</v>
      </c>
    </row>
    <row r="140" spans="1:11" x14ac:dyDescent="0.25">
      <c r="D140" s="5" t="s">
        <v>240</v>
      </c>
      <c r="E140" s="5" t="s">
        <v>241</v>
      </c>
      <c r="F1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0" s="2" t="str">
        <f>IF(Table1[[#This Row],[Type]]="Major",Table1[[#This Row],[Major Group]],G139)</f>
        <v>15-0000</v>
      </c>
      <c r="H140" s="2" t="str">
        <f>IF(Table1[[#This Row],[Major Group]]&lt;&gt;"","n/a",IF(Table1[[#This Row],[Minor Group]]&lt;&gt;"",Table1[[#This Row],[Minor Group]],H139))</f>
        <v>15-1200</v>
      </c>
      <c r="I140" s="2" t="str">
        <f>IF(Table1[[#This Row],[Major Group]]&lt;&gt;"","n/a",IF(Table1[[#This Row],[Minor Group]]&lt;&gt;"","n/a",IF(Table1[[#This Row],[Broad Group]]&lt;&gt;"",Table1[[#This Row],[Broad Group]],I139)))</f>
        <v>15-1210</v>
      </c>
      <c r="J1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Occupation]],J139))))</f>
        <v>15-1212</v>
      </c>
      <c r="K140" s="2" t="str">
        <f>Table1[[#This Row],[Group Name]]</f>
        <v>Information Security Analysts</v>
      </c>
    </row>
    <row r="141" spans="1:11" ht="30" x14ac:dyDescent="0.25">
      <c r="C141" s="1" t="s">
        <v>242</v>
      </c>
      <c r="E141" s="1" t="s">
        <v>243</v>
      </c>
      <c r="F1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1" s="2" t="str">
        <f>IF(Table1[[#This Row],[Type]]="Major",Table1[[#This Row],[Major Group]],G140)</f>
        <v>15-0000</v>
      </c>
      <c r="H141" s="2" t="str">
        <f>IF(Table1[[#This Row],[Major Group]]&lt;&gt;"","n/a",IF(Table1[[#This Row],[Minor Group]]&lt;&gt;"",Table1[[#This Row],[Minor Group]],H140))</f>
        <v>15-1200</v>
      </c>
      <c r="I141" s="2" t="str">
        <f>IF(Table1[[#This Row],[Major Group]]&lt;&gt;"","n/a",IF(Table1[[#This Row],[Minor Group]]&lt;&gt;"","n/a",IF(Table1[[#This Row],[Broad Group]]&lt;&gt;"",Table1[[#This Row],[Broad Group]],I140)))</f>
        <v>15-1220</v>
      </c>
      <c r="J1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Occupation]],J140))))</f>
        <v>n/a</v>
      </c>
      <c r="K141" s="2" t="str">
        <f>Table1[[#This Row],[Group Name]]</f>
        <v>Computer and Information Research Scientists</v>
      </c>
    </row>
    <row r="142" spans="1:11" ht="25.5" x14ac:dyDescent="0.25">
      <c r="D142" s="5" t="s">
        <v>244</v>
      </c>
      <c r="E142" s="5" t="s">
        <v>243</v>
      </c>
      <c r="F1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2" s="2" t="str">
        <f>IF(Table1[[#This Row],[Type]]="Major",Table1[[#This Row],[Major Group]],G141)</f>
        <v>15-0000</v>
      </c>
      <c r="H142" s="2" t="str">
        <f>IF(Table1[[#This Row],[Major Group]]&lt;&gt;"","n/a",IF(Table1[[#This Row],[Minor Group]]&lt;&gt;"",Table1[[#This Row],[Minor Group]],H141))</f>
        <v>15-1200</v>
      </c>
      <c r="I142" s="2" t="str">
        <f>IF(Table1[[#This Row],[Major Group]]&lt;&gt;"","n/a",IF(Table1[[#This Row],[Minor Group]]&lt;&gt;"","n/a",IF(Table1[[#This Row],[Broad Group]]&lt;&gt;"",Table1[[#This Row],[Broad Group]],I141)))</f>
        <v>15-1220</v>
      </c>
      <c r="J1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Occupation]],J141))))</f>
        <v>15-1221</v>
      </c>
      <c r="K142" s="2" t="str">
        <f>Table1[[#This Row],[Group Name]]</f>
        <v>Computer and Information Research Scientists</v>
      </c>
    </row>
    <row r="143" spans="1:11" x14ac:dyDescent="0.25">
      <c r="C143" s="1" t="s">
        <v>245</v>
      </c>
      <c r="E143" s="1" t="s">
        <v>246</v>
      </c>
      <c r="F1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3" s="2" t="str">
        <f>IF(Table1[[#This Row],[Type]]="Major",Table1[[#This Row],[Major Group]],G142)</f>
        <v>15-0000</v>
      </c>
      <c r="H143" s="2" t="str">
        <f>IF(Table1[[#This Row],[Major Group]]&lt;&gt;"","n/a",IF(Table1[[#This Row],[Minor Group]]&lt;&gt;"",Table1[[#This Row],[Minor Group]],H142))</f>
        <v>15-1200</v>
      </c>
      <c r="I143" s="2" t="str">
        <f>IF(Table1[[#This Row],[Major Group]]&lt;&gt;"","n/a",IF(Table1[[#This Row],[Minor Group]]&lt;&gt;"","n/a",IF(Table1[[#This Row],[Broad Group]]&lt;&gt;"",Table1[[#This Row],[Broad Group]],I142)))</f>
        <v>15-1230</v>
      </c>
      <c r="J1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Occupation]],J142))))</f>
        <v>n/a</v>
      </c>
      <c r="K143" s="2" t="str">
        <f>Table1[[#This Row],[Group Name]]</f>
        <v>Computer Support Specialists</v>
      </c>
    </row>
    <row r="144" spans="1:11" x14ac:dyDescent="0.25">
      <c r="D144" s="5" t="s">
        <v>247</v>
      </c>
      <c r="E144" s="5" t="s">
        <v>248</v>
      </c>
      <c r="F1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" s="2" t="str">
        <f>IF(Table1[[#This Row],[Type]]="Major",Table1[[#This Row],[Major Group]],G143)</f>
        <v>15-0000</v>
      </c>
      <c r="H144" s="2" t="str">
        <f>IF(Table1[[#This Row],[Major Group]]&lt;&gt;"","n/a",IF(Table1[[#This Row],[Minor Group]]&lt;&gt;"",Table1[[#This Row],[Minor Group]],H143))</f>
        <v>15-1200</v>
      </c>
      <c r="I144" s="2" t="str">
        <f>IF(Table1[[#This Row],[Major Group]]&lt;&gt;"","n/a",IF(Table1[[#This Row],[Minor Group]]&lt;&gt;"","n/a",IF(Table1[[#This Row],[Broad Group]]&lt;&gt;"",Table1[[#This Row],[Broad Group]],I143)))</f>
        <v>15-1230</v>
      </c>
      <c r="J1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Occupation]],J143))))</f>
        <v>15-1231</v>
      </c>
      <c r="K144" s="2" t="str">
        <f>Table1[[#This Row],[Group Name]]</f>
        <v>Computer Network Support Specialists</v>
      </c>
    </row>
    <row r="145" spans="2:11" x14ac:dyDescent="0.25">
      <c r="D145" s="5" t="s">
        <v>249</v>
      </c>
      <c r="E145" s="5" t="s">
        <v>250</v>
      </c>
      <c r="F1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5" s="2" t="str">
        <f>IF(Table1[[#This Row],[Type]]="Major",Table1[[#This Row],[Major Group]],G144)</f>
        <v>15-0000</v>
      </c>
      <c r="H145" s="2" t="str">
        <f>IF(Table1[[#This Row],[Major Group]]&lt;&gt;"","n/a",IF(Table1[[#This Row],[Minor Group]]&lt;&gt;"",Table1[[#This Row],[Minor Group]],H144))</f>
        <v>15-1200</v>
      </c>
      <c r="I145" s="2" t="str">
        <f>IF(Table1[[#This Row],[Major Group]]&lt;&gt;"","n/a",IF(Table1[[#This Row],[Minor Group]]&lt;&gt;"","n/a",IF(Table1[[#This Row],[Broad Group]]&lt;&gt;"",Table1[[#This Row],[Broad Group]],I144)))</f>
        <v>15-1230</v>
      </c>
      <c r="J1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Occupation]],J144))))</f>
        <v>15-1232</v>
      </c>
      <c r="K145" s="2" t="str">
        <f>Table1[[#This Row],[Group Name]]</f>
        <v>Computer User Support Specialists</v>
      </c>
    </row>
    <row r="146" spans="2:11" ht="30" x14ac:dyDescent="0.25">
      <c r="C146" s="1" t="s">
        <v>251</v>
      </c>
      <c r="E146" s="1" t="s">
        <v>252</v>
      </c>
      <c r="F1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6" s="2" t="str">
        <f>IF(Table1[[#This Row],[Type]]="Major",Table1[[#This Row],[Major Group]],G145)</f>
        <v>15-0000</v>
      </c>
      <c r="H146" s="2" t="str">
        <f>IF(Table1[[#This Row],[Major Group]]&lt;&gt;"","n/a",IF(Table1[[#This Row],[Minor Group]]&lt;&gt;"",Table1[[#This Row],[Minor Group]],H145))</f>
        <v>15-1200</v>
      </c>
      <c r="I146" s="2" t="str">
        <f>IF(Table1[[#This Row],[Major Group]]&lt;&gt;"","n/a",IF(Table1[[#This Row],[Minor Group]]&lt;&gt;"","n/a",IF(Table1[[#This Row],[Broad Group]]&lt;&gt;"",Table1[[#This Row],[Broad Group]],I145)))</f>
        <v>15-1240</v>
      </c>
      <c r="J1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Occupation]],J145))))</f>
        <v>n/a</v>
      </c>
      <c r="K146" s="2" t="str">
        <f>Table1[[#This Row],[Group Name]]</f>
        <v>Database and Network Administrators and Architects</v>
      </c>
    </row>
    <row r="147" spans="2:11" x14ac:dyDescent="0.25">
      <c r="D147" s="5" t="s">
        <v>253</v>
      </c>
      <c r="E147" s="5" t="s">
        <v>254</v>
      </c>
      <c r="F1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7" s="2" t="str">
        <f>IF(Table1[[#This Row],[Type]]="Major",Table1[[#This Row],[Major Group]],G146)</f>
        <v>15-0000</v>
      </c>
      <c r="H147" s="2" t="str">
        <f>IF(Table1[[#This Row],[Major Group]]&lt;&gt;"","n/a",IF(Table1[[#This Row],[Minor Group]]&lt;&gt;"",Table1[[#This Row],[Minor Group]],H146))</f>
        <v>15-1200</v>
      </c>
      <c r="I147" s="2" t="str">
        <f>IF(Table1[[#This Row],[Major Group]]&lt;&gt;"","n/a",IF(Table1[[#This Row],[Minor Group]]&lt;&gt;"","n/a",IF(Table1[[#This Row],[Broad Group]]&lt;&gt;"",Table1[[#This Row],[Broad Group]],I146)))</f>
        <v>15-1240</v>
      </c>
      <c r="J1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Occupation]],J146))))</f>
        <v>15-1241</v>
      </c>
      <c r="K147" s="2" t="str">
        <f>Table1[[#This Row],[Group Name]]</f>
        <v>Computer Network Architects</v>
      </c>
    </row>
    <row r="148" spans="2:11" x14ac:dyDescent="0.25">
      <c r="D148" s="5" t="s">
        <v>255</v>
      </c>
      <c r="E148" s="5" t="s">
        <v>256</v>
      </c>
      <c r="F1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8" s="2" t="str">
        <f>IF(Table1[[#This Row],[Type]]="Major",Table1[[#This Row],[Major Group]],G147)</f>
        <v>15-0000</v>
      </c>
      <c r="H148" s="2" t="str">
        <f>IF(Table1[[#This Row],[Major Group]]&lt;&gt;"","n/a",IF(Table1[[#This Row],[Minor Group]]&lt;&gt;"",Table1[[#This Row],[Minor Group]],H147))</f>
        <v>15-1200</v>
      </c>
      <c r="I148" s="2" t="str">
        <f>IF(Table1[[#This Row],[Major Group]]&lt;&gt;"","n/a",IF(Table1[[#This Row],[Minor Group]]&lt;&gt;"","n/a",IF(Table1[[#This Row],[Broad Group]]&lt;&gt;"",Table1[[#This Row],[Broad Group]],I147)))</f>
        <v>15-1240</v>
      </c>
      <c r="J1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Occupation]],J147))))</f>
        <v>15-1242</v>
      </c>
      <c r="K148" s="2" t="str">
        <f>Table1[[#This Row],[Group Name]]</f>
        <v>Database Administrators</v>
      </c>
    </row>
    <row r="149" spans="2:11" x14ac:dyDescent="0.25">
      <c r="D149" s="5" t="s">
        <v>257</v>
      </c>
      <c r="E149" s="5" t="s">
        <v>258</v>
      </c>
      <c r="F1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9" s="2" t="str">
        <f>IF(Table1[[#This Row],[Type]]="Major",Table1[[#This Row],[Major Group]],G148)</f>
        <v>15-0000</v>
      </c>
      <c r="H149" s="2" t="str">
        <f>IF(Table1[[#This Row],[Major Group]]&lt;&gt;"","n/a",IF(Table1[[#This Row],[Minor Group]]&lt;&gt;"",Table1[[#This Row],[Minor Group]],H148))</f>
        <v>15-1200</v>
      </c>
      <c r="I149" s="2" t="str">
        <f>IF(Table1[[#This Row],[Major Group]]&lt;&gt;"","n/a",IF(Table1[[#This Row],[Minor Group]]&lt;&gt;"","n/a",IF(Table1[[#This Row],[Broad Group]]&lt;&gt;"",Table1[[#This Row],[Broad Group]],I148)))</f>
        <v>15-1240</v>
      </c>
      <c r="J1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Occupation]],J148))))</f>
        <v>15-1243</v>
      </c>
      <c r="K149" s="2" t="str">
        <f>Table1[[#This Row],[Group Name]]</f>
        <v>Database Architects</v>
      </c>
    </row>
    <row r="150" spans="2:11" ht="25.5" x14ac:dyDescent="0.25">
      <c r="D150" s="5" t="s">
        <v>259</v>
      </c>
      <c r="E150" s="5" t="s">
        <v>260</v>
      </c>
      <c r="F1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0" s="2" t="str">
        <f>IF(Table1[[#This Row],[Type]]="Major",Table1[[#This Row],[Major Group]],G149)</f>
        <v>15-0000</v>
      </c>
      <c r="H150" s="2" t="str">
        <f>IF(Table1[[#This Row],[Major Group]]&lt;&gt;"","n/a",IF(Table1[[#This Row],[Minor Group]]&lt;&gt;"",Table1[[#This Row],[Minor Group]],H149))</f>
        <v>15-1200</v>
      </c>
      <c r="I150" s="2" t="str">
        <f>IF(Table1[[#This Row],[Major Group]]&lt;&gt;"","n/a",IF(Table1[[#This Row],[Minor Group]]&lt;&gt;"","n/a",IF(Table1[[#This Row],[Broad Group]]&lt;&gt;"",Table1[[#This Row],[Broad Group]],I149)))</f>
        <v>15-1240</v>
      </c>
      <c r="J1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Occupation]],J149))))</f>
        <v>15-1244</v>
      </c>
      <c r="K150" s="2" t="str">
        <f>Table1[[#This Row],[Group Name]]</f>
        <v>Network and Computer Systems Administrators</v>
      </c>
    </row>
    <row r="151" spans="2:11" ht="30" x14ac:dyDescent="0.25">
      <c r="C151" s="1" t="s">
        <v>261</v>
      </c>
      <c r="E151" s="1" t="s">
        <v>262</v>
      </c>
      <c r="F1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51" s="2" t="str">
        <f>IF(Table1[[#This Row],[Type]]="Major",Table1[[#This Row],[Major Group]],G150)</f>
        <v>15-0000</v>
      </c>
      <c r="H151" s="2" t="str">
        <f>IF(Table1[[#This Row],[Major Group]]&lt;&gt;"","n/a",IF(Table1[[#This Row],[Minor Group]]&lt;&gt;"",Table1[[#This Row],[Minor Group]],H150))</f>
        <v>15-1200</v>
      </c>
      <c r="I151" s="2" t="str">
        <f>IF(Table1[[#This Row],[Major Group]]&lt;&gt;"","n/a",IF(Table1[[#This Row],[Minor Group]]&lt;&gt;"","n/a",IF(Table1[[#This Row],[Broad Group]]&lt;&gt;"",Table1[[#This Row],[Broad Group]],I150)))</f>
        <v>15-1250</v>
      </c>
      <c r="J1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Occupation]],J150))))</f>
        <v>n/a</v>
      </c>
      <c r="K151" s="2" t="str">
        <f>Table1[[#This Row],[Group Name]]</f>
        <v>Software and Web Developers, Programmers, and Testers</v>
      </c>
    </row>
    <row r="152" spans="2:11" x14ac:dyDescent="0.25">
      <c r="D152" s="5" t="s">
        <v>263</v>
      </c>
      <c r="E152" s="5" t="s">
        <v>264</v>
      </c>
      <c r="F1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2" s="2" t="str">
        <f>IF(Table1[[#This Row],[Type]]="Major",Table1[[#This Row],[Major Group]],G151)</f>
        <v>15-0000</v>
      </c>
      <c r="H152" s="2" t="str">
        <f>IF(Table1[[#This Row],[Major Group]]&lt;&gt;"","n/a",IF(Table1[[#This Row],[Minor Group]]&lt;&gt;"",Table1[[#This Row],[Minor Group]],H151))</f>
        <v>15-1200</v>
      </c>
      <c r="I152" s="2" t="str">
        <f>IF(Table1[[#This Row],[Major Group]]&lt;&gt;"","n/a",IF(Table1[[#This Row],[Minor Group]]&lt;&gt;"","n/a",IF(Table1[[#This Row],[Broad Group]]&lt;&gt;"",Table1[[#This Row],[Broad Group]],I151)))</f>
        <v>15-1250</v>
      </c>
      <c r="J1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Occupation]],J151))))</f>
        <v>15-1251</v>
      </c>
      <c r="K152" s="2" t="str">
        <f>Table1[[#This Row],[Group Name]]</f>
        <v>Computer Programmers</v>
      </c>
    </row>
    <row r="153" spans="2:11" x14ac:dyDescent="0.25">
      <c r="D153" s="5" t="s">
        <v>265</v>
      </c>
      <c r="E153" s="5" t="s">
        <v>266</v>
      </c>
      <c r="F1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3" s="2" t="str">
        <f>IF(Table1[[#This Row],[Type]]="Major",Table1[[#This Row],[Major Group]],G152)</f>
        <v>15-0000</v>
      </c>
      <c r="H153" s="2" t="str">
        <f>IF(Table1[[#This Row],[Major Group]]&lt;&gt;"","n/a",IF(Table1[[#This Row],[Minor Group]]&lt;&gt;"",Table1[[#This Row],[Minor Group]],H152))</f>
        <v>15-1200</v>
      </c>
      <c r="I153" s="2" t="str">
        <f>IF(Table1[[#This Row],[Major Group]]&lt;&gt;"","n/a",IF(Table1[[#This Row],[Minor Group]]&lt;&gt;"","n/a",IF(Table1[[#This Row],[Broad Group]]&lt;&gt;"",Table1[[#This Row],[Broad Group]],I152)))</f>
        <v>15-1250</v>
      </c>
      <c r="J1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Occupation]],J152))))</f>
        <v>15-1252</v>
      </c>
      <c r="K153" s="2" t="str">
        <f>Table1[[#This Row],[Group Name]]</f>
        <v>Software Developers</v>
      </c>
    </row>
    <row r="154" spans="2:11" ht="25.5" x14ac:dyDescent="0.25">
      <c r="D154" s="5" t="s">
        <v>267</v>
      </c>
      <c r="E154" s="5" t="s">
        <v>268</v>
      </c>
      <c r="F1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4" s="2" t="str">
        <f>IF(Table1[[#This Row],[Type]]="Major",Table1[[#This Row],[Major Group]],G153)</f>
        <v>15-0000</v>
      </c>
      <c r="H154" s="2" t="str">
        <f>IF(Table1[[#This Row],[Major Group]]&lt;&gt;"","n/a",IF(Table1[[#This Row],[Minor Group]]&lt;&gt;"",Table1[[#This Row],[Minor Group]],H153))</f>
        <v>15-1200</v>
      </c>
      <c r="I154" s="2" t="str">
        <f>IF(Table1[[#This Row],[Major Group]]&lt;&gt;"","n/a",IF(Table1[[#This Row],[Minor Group]]&lt;&gt;"","n/a",IF(Table1[[#This Row],[Broad Group]]&lt;&gt;"",Table1[[#This Row],[Broad Group]],I153)))</f>
        <v>15-1250</v>
      </c>
      <c r="J1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Occupation]],J153))))</f>
        <v>15-1253</v>
      </c>
      <c r="K154" s="2" t="str">
        <f>Table1[[#This Row],[Group Name]]</f>
        <v>Software Quality Assurance Analysts and Testers</v>
      </c>
    </row>
    <row r="155" spans="2:11" x14ac:dyDescent="0.25">
      <c r="D155" s="5" t="s">
        <v>269</v>
      </c>
      <c r="E155" s="5" t="s">
        <v>270</v>
      </c>
      <c r="F1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5" s="2" t="str">
        <f>IF(Table1[[#This Row],[Type]]="Major",Table1[[#This Row],[Major Group]],G154)</f>
        <v>15-0000</v>
      </c>
      <c r="H155" s="2" t="str">
        <f>IF(Table1[[#This Row],[Major Group]]&lt;&gt;"","n/a",IF(Table1[[#This Row],[Minor Group]]&lt;&gt;"",Table1[[#This Row],[Minor Group]],H154))</f>
        <v>15-1200</v>
      </c>
      <c r="I155" s="2" t="str">
        <f>IF(Table1[[#This Row],[Major Group]]&lt;&gt;"","n/a",IF(Table1[[#This Row],[Minor Group]]&lt;&gt;"","n/a",IF(Table1[[#This Row],[Broad Group]]&lt;&gt;"",Table1[[#This Row],[Broad Group]],I154)))</f>
        <v>15-1250</v>
      </c>
      <c r="J1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Occupation]],J154))))</f>
        <v>15-1254</v>
      </c>
      <c r="K155" s="2" t="str">
        <f>Table1[[#This Row],[Group Name]]</f>
        <v>Web Developers</v>
      </c>
    </row>
    <row r="156" spans="2:11" x14ac:dyDescent="0.25">
      <c r="D156" s="5" t="s">
        <v>271</v>
      </c>
      <c r="E156" s="5" t="s">
        <v>272</v>
      </c>
      <c r="F1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6" s="2" t="str">
        <f>IF(Table1[[#This Row],[Type]]="Major",Table1[[#This Row],[Major Group]],G155)</f>
        <v>15-0000</v>
      </c>
      <c r="H156" s="2" t="str">
        <f>IF(Table1[[#This Row],[Major Group]]&lt;&gt;"","n/a",IF(Table1[[#This Row],[Minor Group]]&lt;&gt;"",Table1[[#This Row],[Minor Group]],H155))</f>
        <v>15-1200</v>
      </c>
      <c r="I156" s="2" t="str">
        <f>IF(Table1[[#This Row],[Major Group]]&lt;&gt;"","n/a",IF(Table1[[#This Row],[Minor Group]]&lt;&gt;"","n/a",IF(Table1[[#This Row],[Broad Group]]&lt;&gt;"",Table1[[#This Row],[Broad Group]],I155)))</f>
        <v>15-1250</v>
      </c>
      <c r="J1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Occupation]],J155))))</f>
        <v>15-1255</v>
      </c>
      <c r="K156" s="2" t="str">
        <f>Table1[[#This Row],[Group Name]]</f>
        <v>Web and Digital Interface Designers</v>
      </c>
    </row>
    <row r="157" spans="2:11" ht="30" x14ac:dyDescent="0.25">
      <c r="C157" s="1" t="s">
        <v>273</v>
      </c>
      <c r="E157" s="1" t="s">
        <v>274</v>
      </c>
      <c r="F1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57" s="2" t="str">
        <f>IF(Table1[[#This Row],[Type]]="Major",Table1[[#This Row],[Major Group]],G156)</f>
        <v>15-0000</v>
      </c>
      <c r="H157" s="2" t="str">
        <f>IF(Table1[[#This Row],[Major Group]]&lt;&gt;"","n/a",IF(Table1[[#This Row],[Minor Group]]&lt;&gt;"",Table1[[#This Row],[Minor Group]],H156))</f>
        <v>15-1200</v>
      </c>
      <c r="I157" s="2" t="str">
        <f>IF(Table1[[#This Row],[Major Group]]&lt;&gt;"","n/a",IF(Table1[[#This Row],[Minor Group]]&lt;&gt;"","n/a",IF(Table1[[#This Row],[Broad Group]]&lt;&gt;"",Table1[[#This Row],[Broad Group]],I156)))</f>
        <v>15-1290</v>
      </c>
      <c r="J1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Occupation]],J156))))</f>
        <v>n/a</v>
      </c>
      <c r="K157" s="2" t="str">
        <f>Table1[[#This Row],[Group Name]]</f>
        <v>Miscellaneous Computer Occupations</v>
      </c>
    </row>
    <row r="158" spans="2:11" x14ac:dyDescent="0.25">
      <c r="D158" s="5" t="s">
        <v>275</v>
      </c>
      <c r="E158" s="5" t="s">
        <v>276</v>
      </c>
      <c r="F1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58" s="2" t="str">
        <f>IF(Table1[[#This Row],[Type]]="Major",Table1[[#This Row],[Major Group]],G157)</f>
        <v>15-0000</v>
      </c>
      <c r="H158" s="2" t="str">
        <f>IF(Table1[[#This Row],[Major Group]]&lt;&gt;"","n/a",IF(Table1[[#This Row],[Minor Group]]&lt;&gt;"",Table1[[#This Row],[Minor Group]],H157))</f>
        <v>15-1200</v>
      </c>
      <c r="I158" s="2" t="str">
        <f>IF(Table1[[#This Row],[Major Group]]&lt;&gt;"","n/a",IF(Table1[[#This Row],[Minor Group]]&lt;&gt;"","n/a",IF(Table1[[#This Row],[Broad Group]]&lt;&gt;"",Table1[[#This Row],[Broad Group]],I157)))</f>
        <v>15-1290</v>
      </c>
      <c r="J1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Occupation]],J157))))</f>
        <v>15-1299</v>
      </c>
      <c r="K158" s="2" t="str">
        <f>Table1[[#This Row],[Group Name]]</f>
        <v>Computer Occupations, All Other</v>
      </c>
    </row>
    <row r="159" spans="2:11" x14ac:dyDescent="0.25">
      <c r="B159" s="3" t="s">
        <v>277</v>
      </c>
      <c r="E159" s="3" t="s">
        <v>278</v>
      </c>
      <c r="F1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59" s="2" t="str">
        <f>IF(Table1[[#This Row],[Type]]="Major",Table1[[#This Row],[Major Group]],G158)</f>
        <v>15-0000</v>
      </c>
      <c r="H159" s="2" t="str">
        <f>IF(Table1[[#This Row],[Major Group]]&lt;&gt;"","n/a",IF(Table1[[#This Row],[Minor Group]]&lt;&gt;"",Table1[[#This Row],[Minor Group]],H158))</f>
        <v>15-2000</v>
      </c>
      <c r="I159" s="2" t="str">
        <f>IF(Table1[[#This Row],[Major Group]]&lt;&gt;"","n/a",IF(Table1[[#This Row],[Minor Group]]&lt;&gt;"","n/a",IF(Table1[[#This Row],[Broad Group]]&lt;&gt;"",Table1[[#This Row],[Broad Group]],I158)))</f>
        <v>n/a</v>
      </c>
      <c r="J1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Occupation]],J158))))</f>
        <v>n/a</v>
      </c>
      <c r="K159" s="2" t="str">
        <f>Table1[[#This Row],[Group Name]]</f>
        <v>Mathematical Science Occupations</v>
      </c>
    </row>
    <row r="160" spans="2:11" x14ac:dyDescent="0.25">
      <c r="C160" s="1" t="s">
        <v>279</v>
      </c>
      <c r="E160" s="1" t="s">
        <v>280</v>
      </c>
      <c r="F1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60" s="2" t="str">
        <f>IF(Table1[[#This Row],[Type]]="Major",Table1[[#This Row],[Major Group]],G159)</f>
        <v>15-0000</v>
      </c>
      <c r="H160" s="2" t="str">
        <f>IF(Table1[[#This Row],[Major Group]]&lt;&gt;"","n/a",IF(Table1[[#This Row],[Minor Group]]&lt;&gt;"",Table1[[#This Row],[Minor Group]],H159))</f>
        <v>15-2000</v>
      </c>
      <c r="I160" s="2" t="str">
        <f>IF(Table1[[#This Row],[Major Group]]&lt;&gt;"","n/a",IF(Table1[[#This Row],[Minor Group]]&lt;&gt;"","n/a",IF(Table1[[#This Row],[Broad Group]]&lt;&gt;"",Table1[[#This Row],[Broad Group]],I159)))</f>
        <v>15-2010</v>
      </c>
      <c r="J1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Occupation]],J159))))</f>
        <v>n/a</v>
      </c>
      <c r="K160" s="2" t="str">
        <f>Table1[[#This Row],[Group Name]]</f>
        <v>Actuaries</v>
      </c>
    </row>
    <row r="161" spans="1:11" x14ac:dyDescent="0.25">
      <c r="D161" s="5" t="s">
        <v>281</v>
      </c>
      <c r="E161" s="5" t="s">
        <v>280</v>
      </c>
      <c r="F1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61" s="2" t="str">
        <f>IF(Table1[[#This Row],[Type]]="Major",Table1[[#This Row],[Major Group]],G160)</f>
        <v>15-0000</v>
      </c>
      <c r="H161" s="2" t="str">
        <f>IF(Table1[[#This Row],[Major Group]]&lt;&gt;"","n/a",IF(Table1[[#This Row],[Minor Group]]&lt;&gt;"",Table1[[#This Row],[Minor Group]],H160))</f>
        <v>15-2000</v>
      </c>
      <c r="I161" s="2" t="str">
        <f>IF(Table1[[#This Row],[Major Group]]&lt;&gt;"","n/a",IF(Table1[[#This Row],[Minor Group]]&lt;&gt;"","n/a",IF(Table1[[#This Row],[Broad Group]]&lt;&gt;"",Table1[[#This Row],[Broad Group]],I160)))</f>
        <v>15-2010</v>
      </c>
      <c r="J1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Occupation]],J160))))</f>
        <v>15-2011</v>
      </c>
      <c r="K161" s="2" t="str">
        <f>Table1[[#This Row],[Group Name]]</f>
        <v>Actuaries</v>
      </c>
    </row>
    <row r="162" spans="1:11" x14ac:dyDescent="0.25">
      <c r="C162" s="1" t="s">
        <v>282</v>
      </c>
      <c r="E162" s="1" t="s">
        <v>283</v>
      </c>
      <c r="F1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62" s="2" t="str">
        <f>IF(Table1[[#This Row],[Type]]="Major",Table1[[#This Row],[Major Group]],G161)</f>
        <v>15-0000</v>
      </c>
      <c r="H162" s="2" t="str">
        <f>IF(Table1[[#This Row],[Major Group]]&lt;&gt;"","n/a",IF(Table1[[#This Row],[Minor Group]]&lt;&gt;"",Table1[[#This Row],[Minor Group]],H161))</f>
        <v>15-2000</v>
      </c>
      <c r="I162" s="2" t="str">
        <f>IF(Table1[[#This Row],[Major Group]]&lt;&gt;"","n/a",IF(Table1[[#This Row],[Minor Group]]&lt;&gt;"","n/a",IF(Table1[[#This Row],[Broad Group]]&lt;&gt;"",Table1[[#This Row],[Broad Group]],I161)))</f>
        <v>15-2020</v>
      </c>
      <c r="J1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Occupation]],J161))))</f>
        <v>n/a</v>
      </c>
      <c r="K162" s="2" t="str">
        <f>Table1[[#This Row],[Group Name]]</f>
        <v>Mathematicians</v>
      </c>
    </row>
    <row r="163" spans="1:11" x14ac:dyDescent="0.25">
      <c r="D163" s="5" t="s">
        <v>284</v>
      </c>
      <c r="E163" s="5" t="s">
        <v>283</v>
      </c>
      <c r="F1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63" s="2" t="str">
        <f>IF(Table1[[#This Row],[Type]]="Major",Table1[[#This Row],[Major Group]],G162)</f>
        <v>15-0000</v>
      </c>
      <c r="H163" s="2" t="str">
        <f>IF(Table1[[#This Row],[Major Group]]&lt;&gt;"","n/a",IF(Table1[[#This Row],[Minor Group]]&lt;&gt;"",Table1[[#This Row],[Minor Group]],H162))</f>
        <v>15-2000</v>
      </c>
      <c r="I163" s="2" t="str">
        <f>IF(Table1[[#This Row],[Major Group]]&lt;&gt;"","n/a",IF(Table1[[#This Row],[Minor Group]]&lt;&gt;"","n/a",IF(Table1[[#This Row],[Broad Group]]&lt;&gt;"",Table1[[#This Row],[Broad Group]],I162)))</f>
        <v>15-2020</v>
      </c>
      <c r="J1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Occupation]],J162))))</f>
        <v>15-2021</v>
      </c>
      <c r="K163" s="2" t="str">
        <f>Table1[[#This Row],[Group Name]]</f>
        <v>Mathematicians</v>
      </c>
    </row>
    <row r="164" spans="1:11" x14ac:dyDescent="0.25">
      <c r="C164" s="1" t="s">
        <v>285</v>
      </c>
      <c r="E164" s="1" t="s">
        <v>286</v>
      </c>
      <c r="F1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64" s="2" t="str">
        <f>IF(Table1[[#This Row],[Type]]="Major",Table1[[#This Row],[Major Group]],G163)</f>
        <v>15-0000</v>
      </c>
      <c r="H164" s="2" t="str">
        <f>IF(Table1[[#This Row],[Major Group]]&lt;&gt;"","n/a",IF(Table1[[#This Row],[Minor Group]]&lt;&gt;"",Table1[[#This Row],[Minor Group]],H163))</f>
        <v>15-2000</v>
      </c>
      <c r="I164" s="2" t="str">
        <f>IF(Table1[[#This Row],[Major Group]]&lt;&gt;"","n/a",IF(Table1[[#This Row],[Minor Group]]&lt;&gt;"","n/a",IF(Table1[[#This Row],[Broad Group]]&lt;&gt;"",Table1[[#This Row],[Broad Group]],I163)))</f>
        <v>15-2030</v>
      </c>
      <c r="J1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Occupation]],J163))))</f>
        <v>n/a</v>
      </c>
      <c r="K164" s="2" t="str">
        <f>Table1[[#This Row],[Group Name]]</f>
        <v>Operations Research Analysts</v>
      </c>
    </row>
    <row r="165" spans="1:11" x14ac:dyDescent="0.25">
      <c r="D165" s="5" t="s">
        <v>287</v>
      </c>
      <c r="E165" s="5" t="s">
        <v>286</v>
      </c>
      <c r="F1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65" s="2" t="str">
        <f>IF(Table1[[#This Row],[Type]]="Major",Table1[[#This Row],[Major Group]],G164)</f>
        <v>15-0000</v>
      </c>
      <c r="H165" s="2" t="str">
        <f>IF(Table1[[#This Row],[Major Group]]&lt;&gt;"","n/a",IF(Table1[[#This Row],[Minor Group]]&lt;&gt;"",Table1[[#This Row],[Minor Group]],H164))</f>
        <v>15-2000</v>
      </c>
      <c r="I165" s="2" t="str">
        <f>IF(Table1[[#This Row],[Major Group]]&lt;&gt;"","n/a",IF(Table1[[#This Row],[Minor Group]]&lt;&gt;"","n/a",IF(Table1[[#This Row],[Broad Group]]&lt;&gt;"",Table1[[#This Row],[Broad Group]],I164)))</f>
        <v>15-2030</v>
      </c>
      <c r="J1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Occupation]],J164))))</f>
        <v>15-2031</v>
      </c>
      <c r="K165" s="2" t="str">
        <f>Table1[[#This Row],[Group Name]]</f>
        <v>Operations Research Analysts</v>
      </c>
    </row>
    <row r="166" spans="1:11" x14ac:dyDescent="0.25">
      <c r="C166" s="1" t="s">
        <v>288</v>
      </c>
      <c r="E166" s="1" t="s">
        <v>289</v>
      </c>
      <c r="F1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66" s="2" t="str">
        <f>IF(Table1[[#This Row],[Type]]="Major",Table1[[#This Row],[Major Group]],G165)</f>
        <v>15-0000</v>
      </c>
      <c r="H166" s="2" t="str">
        <f>IF(Table1[[#This Row],[Major Group]]&lt;&gt;"","n/a",IF(Table1[[#This Row],[Minor Group]]&lt;&gt;"",Table1[[#This Row],[Minor Group]],H165))</f>
        <v>15-2000</v>
      </c>
      <c r="I166" s="2" t="str">
        <f>IF(Table1[[#This Row],[Major Group]]&lt;&gt;"","n/a",IF(Table1[[#This Row],[Minor Group]]&lt;&gt;"","n/a",IF(Table1[[#This Row],[Broad Group]]&lt;&gt;"",Table1[[#This Row],[Broad Group]],I165)))</f>
        <v>15-2040</v>
      </c>
      <c r="J1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Occupation]],J165))))</f>
        <v>n/a</v>
      </c>
      <c r="K166" s="2" t="str">
        <f>Table1[[#This Row],[Group Name]]</f>
        <v>Statisticians</v>
      </c>
    </row>
    <row r="167" spans="1:11" x14ac:dyDescent="0.25">
      <c r="D167" s="5" t="s">
        <v>290</v>
      </c>
      <c r="E167" s="5" t="s">
        <v>289</v>
      </c>
      <c r="F1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67" s="2" t="str">
        <f>IF(Table1[[#This Row],[Type]]="Major",Table1[[#This Row],[Major Group]],G166)</f>
        <v>15-0000</v>
      </c>
      <c r="H167" s="2" t="str">
        <f>IF(Table1[[#This Row],[Major Group]]&lt;&gt;"","n/a",IF(Table1[[#This Row],[Minor Group]]&lt;&gt;"",Table1[[#This Row],[Minor Group]],H166))</f>
        <v>15-2000</v>
      </c>
      <c r="I167" s="2" t="str">
        <f>IF(Table1[[#This Row],[Major Group]]&lt;&gt;"","n/a",IF(Table1[[#This Row],[Minor Group]]&lt;&gt;"","n/a",IF(Table1[[#This Row],[Broad Group]]&lt;&gt;"",Table1[[#This Row],[Broad Group]],I166)))</f>
        <v>15-2040</v>
      </c>
      <c r="J1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Occupation]],J166))))</f>
        <v>15-2041</v>
      </c>
      <c r="K167" s="2" t="str">
        <f>Table1[[#This Row],[Group Name]]</f>
        <v>Statisticians</v>
      </c>
    </row>
    <row r="168" spans="1:11" x14ac:dyDescent="0.25">
      <c r="C168" s="1" t="s">
        <v>291</v>
      </c>
      <c r="E168" s="1" t="s">
        <v>292</v>
      </c>
      <c r="F1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68" s="2" t="str">
        <f>IF(Table1[[#This Row],[Type]]="Major",Table1[[#This Row],[Major Group]],G167)</f>
        <v>15-0000</v>
      </c>
      <c r="H168" s="2" t="str">
        <f>IF(Table1[[#This Row],[Major Group]]&lt;&gt;"","n/a",IF(Table1[[#This Row],[Minor Group]]&lt;&gt;"",Table1[[#This Row],[Minor Group]],H167))</f>
        <v>15-2000</v>
      </c>
      <c r="I168" s="2" t="str">
        <f>IF(Table1[[#This Row],[Major Group]]&lt;&gt;"","n/a",IF(Table1[[#This Row],[Minor Group]]&lt;&gt;"","n/a",IF(Table1[[#This Row],[Broad Group]]&lt;&gt;"",Table1[[#This Row],[Broad Group]],I167)))</f>
        <v>15-2050</v>
      </c>
      <c r="J1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Occupation]],J167))))</f>
        <v>n/a</v>
      </c>
      <c r="K168" s="2" t="str">
        <f>Table1[[#This Row],[Group Name]]</f>
        <v>Data Scientists</v>
      </c>
    </row>
    <row r="169" spans="1:11" x14ac:dyDescent="0.25">
      <c r="D169" s="5" t="s">
        <v>293</v>
      </c>
      <c r="E169" s="5" t="s">
        <v>292</v>
      </c>
      <c r="F1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69" s="2" t="str">
        <f>IF(Table1[[#This Row],[Type]]="Major",Table1[[#This Row],[Major Group]],G168)</f>
        <v>15-0000</v>
      </c>
      <c r="H169" s="2" t="str">
        <f>IF(Table1[[#This Row],[Major Group]]&lt;&gt;"","n/a",IF(Table1[[#This Row],[Minor Group]]&lt;&gt;"",Table1[[#This Row],[Minor Group]],H168))</f>
        <v>15-2000</v>
      </c>
      <c r="I169" s="2" t="str">
        <f>IF(Table1[[#This Row],[Major Group]]&lt;&gt;"","n/a",IF(Table1[[#This Row],[Minor Group]]&lt;&gt;"","n/a",IF(Table1[[#This Row],[Broad Group]]&lt;&gt;"",Table1[[#This Row],[Broad Group]],I168)))</f>
        <v>15-2050</v>
      </c>
      <c r="J1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Occupation]],J168))))</f>
        <v>15-2051</v>
      </c>
      <c r="K169" s="2" t="str">
        <f>Table1[[#This Row],[Group Name]]</f>
        <v>Data Scientists</v>
      </c>
    </row>
    <row r="170" spans="1:11" ht="30" x14ac:dyDescent="0.25">
      <c r="C170" s="1" t="s">
        <v>294</v>
      </c>
      <c r="E170" s="1" t="s">
        <v>295</v>
      </c>
      <c r="F1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70" s="2" t="str">
        <f>IF(Table1[[#This Row],[Type]]="Major",Table1[[#This Row],[Major Group]],G169)</f>
        <v>15-0000</v>
      </c>
      <c r="H170" s="2" t="str">
        <f>IF(Table1[[#This Row],[Major Group]]&lt;&gt;"","n/a",IF(Table1[[#This Row],[Minor Group]]&lt;&gt;"",Table1[[#This Row],[Minor Group]],H169))</f>
        <v>15-2000</v>
      </c>
      <c r="I170" s="2" t="str">
        <f>IF(Table1[[#This Row],[Major Group]]&lt;&gt;"","n/a",IF(Table1[[#This Row],[Minor Group]]&lt;&gt;"","n/a",IF(Table1[[#This Row],[Broad Group]]&lt;&gt;"",Table1[[#This Row],[Broad Group]],I169)))</f>
        <v>15-2090</v>
      </c>
      <c r="J1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Occupation]],J169))))</f>
        <v>n/a</v>
      </c>
      <c r="K170" s="2" t="str">
        <f>Table1[[#This Row],[Group Name]]</f>
        <v>Miscellaneous Mathematical Science Occupations</v>
      </c>
    </row>
    <row r="171" spans="1:11" ht="25.5" x14ac:dyDescent="0.25">
      <c r="D171" s="5" t="s">
        <v>296</v>
      </c>
      <c r="E171" s="5" t="s">
        <v>297</v>
      </c>
      <c r="F1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71" s="2" t="str">
        <f>IF(Table1[[#This Row],[Type]]="Major",Table1[[#This Row],[Major Group]],G170)</f>
        <v>15-0000</v>
      </c>
      <c r="H171" s="2" t="str">
        <f>IF(Table1[[#This Row],[Major Group]]&lt;&gt;"","n/a",IF(Table1[[#This Row],[Minor Group]]&lt;&gt;"",Table1[[#This Row],[Minor Group]],H170))</f>
        <v>15-2000</v>
      </c>
      <c r="I171" s="2" t="str">
        <f>IF(Table1[[#This Row],[Major Group]]&lt;&gt;"","n/a",IF(Table1[[#This Row],[Minor Group]]&lt;&gt;"","n/a",IF(Table1[[#This Row],[Broad Group]]&lt;&gt;"",Table1[[#This Row],[Broad Group]],I170)))</f>
        <v>15-2090</v>
      </c>
      <c r="J1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Occupation]],J170))))</f>
        <v>15-2099</v>
      </c>
      <c r="K171" s="2" t="str">
        <f>Table1[[#This Row],[Group Name]]</f>
        <v>Mathematical Science Occupations, All Other</v>
      </c>
    </row>
    <row r="172" spans="1:11" ht="15.75" x14ac:dyDescent="0.25">
      <c r="A172" s="4" t="s">
        <v>298</v>
      </c>
      <c r="E172" s="4" t="s">
        <v>299</v>
      </c>
      <c r="F1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172" s="2" t="str">
        <f>IF(Table1[[#This Row],[Type]]="Major",Table1[[#This Row],[Major Group]],G171)</f>
        <v>17-0000</v>
      </c>
      <c r="H172" s="2" t="str">
        <f>IF(Table1[[#This Row],[Major Group]]&lt;&gt;"","n/a",IF(Table1[[#This Row],[Minor Group]]&lt;&gt;"",Table1[[#This Row],[Minor Group]],H171))</f>
        <v>n/a</v>
      </c>
      <c r="I172" s="2" t="str">
        <f>IF(Table1[[#This Row],[Major Group]]&lt;&gt;"","n/a",IF(Table1[[#This Row],[Minor Group]]&lt;&gt;"","n/a",IF(Table1[[#This Row],[Broad Group]]&lt;&gt;"",Table1[[#This Row],[Broad Group]],I171)))</f>
        <v>n/a</v>
      </c>
      <c r="J1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Occupation]],J171))))</f>
        <v>n/a</v>
      </c>
      <c r="K172" s="2" t="str">
        <f>Table1[[#This Row],[Group Name]]</f>
        <v>Architecture and Engineering Occupations</v>
      </c>
    </row>
    <row r="173" spans="1:11" x14ac:dyDescent="0.25">
      <c r="B173" s="3" t="s">
        <v>300</v>
      </c>
      <c r="E173" s="3" t="s">
        <v>301</v>
      </c>
      <c r="F1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73" s="2" t="str">
        <f>IF(Table1[[#This Row],[Type]]="Major",Table1[[#This Row],[Major Group]],G172)</f>
        <v>17-0000</v>
      </c>
      <c r="H173" s="2" t="str">
        <f>IF(Table1[[#This Row],[Major Group]]&lt;&gt;"","n/a",IF(Table1[[#This Row],[Minor Group]]&lt;&gt;"",Table1[[#This Row],[Minor Group]],H172))</f>
        <v>17-1000</v>
      </c>
      <c r="I173" s="2" t="str">
        <f>IF(Table1[[#This Row],[Major Group]]&lt;&gt;"","n/a",IF(Table1[[#This Row],[Minor Group]]&lt;&gt;"","n/a",IF(Table1[[#This Row],[Broad Group]]&lt;&gt;"",Table1[[#This Row],[Broad Group]],I172)))</f>
        <v>n/a</v>
      </c>
      <c r="J1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Occupation]],J172))))</f>
        <v>n/a</v>
      </c>
      <c r="K173" s="2" t="str">
        <f>Table1[[#This Row],[Group Name]]</f>
        <v>Architects, Surveyors, and Cartographers</v>
      </c>
    </row>
    <row r="174" spans="1:11" x14ac:dyDescent="0.25">
      <c r="C174" s="1" t="s">
        <v>302</v>
      </c>
      <c r="E174" s="1" t="s">
        <v>303</v>
      </c>
      <c r="F1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74" s="2" t="str">
        <f>IF(Table1[[#This Row],[Type]]="Major",Table1[[#This Row],[Major Group]],G173)</f>
        <v>17-0000</v>
      </c>
      <c r="H174" s="2" t="str">
        <f>IF(Table1[[#This Row],[Major Group]]&lt;&gt;"","n/a",IF(Table1[[#This Row],[Minor Group]]&lt;&gt;"",Table1[[#This Row],[Minor Group]],H173))</f>
        <v>17-1000</v>
      </c>
      <c r="I174" s="2" t="str">
        <f>IF(Table1[[#This Row],[Major Group]]&lt;&gt;"","n/a",IF(Table1[[#This Row],[Minor Group]]&lt;&gt;"","n/a",IF(Table1[[#This Row],[Broad Group]]&lt;&gt;"",Table1[[#This Row],[Broad Group]],I173)))</f>
        <v>17-1010</v>
      </c>
      <c r="J1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Occupation]],J173))))</f>
        <v>n/a</v>
      </c>
      <c r="K174" s="2" t="str">
        <f>Table1[[#This Row],[Group Name]]</f>
        <v>Architects, Except Naval</v>
      </c>
    </row>
    <row r="175" spans="1:11" ht="25.5" x14ac:dyDescent="0.25">
      <c r="D175" s="5" t="s">
        <v>304</v>
      </c>
      <c r="E175" s="5" t="s">
        <v>305</v>
      </c>
      <c r="F1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75" s="2" t="str">
        <f>IF(Table1[[#This Row],[Type]]="Major",Table1[[#This Row],[Major Group]],G174)</f>
        <v>17-0000</v>
      </c>
      <c r="H175" s="2" t="str">
        <f>IF(Table1[[#This Row],[Major Group]]&lt;&gt;"","n/a",IF(Table1[[#This Row],[Minor Group]]&lt;&gt;"",Table1[[#This Row],[Minor Group]],H174))</f>
        <v>17-1000</v>
      </c>
      <c r="I175" s="2" t="str">
        <f>IF(Table1[[#This Row],[Major Group]]&lt;&gt;"","n/a",IF(Table1[[#This Row],[Minor Group]]&lt;&gt;"","n/a",IF(Table1[[#This Row],[Broad Group]]&lt;&gt;"",Table1[[#This Row],[Broad Group]],I174)))</f>
        <v>17-1010</v>
      </c>
      <c r="J1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Occupation]],J174))))</f>
        <v>17-1011</v>
      </c>
      <c r="K175" s="2" t="str">
        <f>Table1[[#This Row],[Group Name]]</f>
        <v>Architects, Except Landscape and Naval</v>
      </c>
    </row>
    <row r="176" spans="1:11" x14ac:dyDescent="0.25">
      <c r="D176" s="5" t="s">
        <v>306</v>
      </c>
      <c r="E176" s="5" t="s">
        <v>307</v>
      </c>
      <c r="F1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76" s="2" t="str">
        <f>IF(Table1[[#This Row],[Type]]="Major",Table1[[#This Row],[Major Group]],G175)</f>
        <v>17-0000</v>
      </c>
      <c r="H176" s="2" t="str">
        <f>IF(Table1[[#This Row],[Major Group]]&lt;&gt;"","n/a",IF(Table1[[#This Row],[Minor Group]]&lt;&gt;"",Table1[[#This Row],[Minor Group]],H175))</f>
        <v>17-1000</v>
      </c>
      <c r="I176" s="2" t="str">
        <f>IF(Table1[[#This Row],[Major Group]]&lt;&gt;"","n/a",IF(Table1[[#This Row],[Minor Group]]&lt;&gt;"","n/a",IF(Table1[[#This Row],[Broad Group]]&lt;&gt;"",Table1[[#This Row],[Broad Group]],I175)))</f>
        <v>17-1010</v>
      </c>
      <c r="J1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Occupation]],J175))))</f>
        <v>17-1012</v>
      </c>
      <c r="K176" s="2" t="str">
        <f>Table1[[#This Row],[Group Name]]</f>
        <v>Landscape Architects</v>
      </c>
    </row>
    <row r="177" spans="2:11" ht="30" x14ac:dyDescent="0.25">
      <c r="C177" s="1" t="s">
        <v>308</v>
      </c>
      <c r="E177" s="1" t="s">
        <v>309</v>
      </c>
      <c r="F1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77" s="2" t="str">
        <f>IF(Table1[[#This Row],[Type]]="Major",Table1[[#This Row],[Major Group]],G176)</f>
        <v>17-0000</v>
      </c>
      <c r="H177" s="2" t="str">
        <f>IF(Table1[[#This Row],[Major Group]]&lt;&gt;"","n/a",IF(Table1[[#This Row],[Minor Group]]&lt;&gt;"",Table1[[#This Row],[Minor Group]],H176))</f>
        <v>17-1000</v>
      </c>
      <c r="I177" s="2" t="str">
        <f>IF(Table1[[#This Row],[Major Group]]&lt;&gt;"","n/a",IF(Table1[[#This Row],[Minor Group]]&lt;&gt;"","n/a",IF(Table1[[#This Row],[Broad Group]]&lt;&gt;"",Table1[[#This Row],[Broad Group]],I176)))</f>
        <v>17-1020</v>
      </c>
      <c r="J1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Occupation]],J176))))</f>
        <v>n/a</v>
      </c>
      <c r="K177" s="2" t="str">
        <f>Table1[[#This Row],[Group Name]]</f>
        <v>Surveyors, Cartographers, and Photogrammetrists</v>
      </c>
    </row>
    <row r="178" spans="2:11" x14ac:dyDescent="0.25">
      <c r="D178" s="5" t="s">
        <v>310</v>
      </c>
      <c r="E178" s="5" t="s">
        <v>311</v>
      </c>
      <c r="F1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78" s="2" t="str">
        <f>IF(Table1[[#This Row],[Type]]="Major",Table1[[#This Row],[Major Group]],G177)</f>
        <v>17-0000</v>
      </c>
      <c r="H178" s="2" t="str">
        <f>IF(Table1[[#This Row],[Major Group]]&lt;&gt;"","n/a",IF(Table1[[#This Row],[Minor Group]]&lt;&gt;"",Table1[[#This Row],[Minor Group]],H177))</f>
        <v>17-1000</v>
      </c>
      <c r="I178" s="2" t="str">
        <f>IF(Table1[[#This Row],[Major Group]]&lt;&gt;"","n/a",IF(Table1[[#This Row],[Minor Group]]&lt;&gt;"","n/a",IF(Table1[[#This Row],[Broad Group]]&lt;&gt;"",Table1[[#This Row],[Broad Group]],I177)))</f>
        <v>17-1020</v>
      </c>
      <c r="J1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Occupation]],J177))))</f>
        <v>17-1021</v>
      </c>
      <c r="K178" s="2" t="str">
        <f>Table1[[#This Row],[Group Name]]</f>
        <v>Cartographers and Photogrammetrists</v>
      </c>
    </row>
    <row r="179" spans="2:11" x14ac:dyDescent="0.25">
      <c r="D179" s="5" t="s">
        <v>312</v>
      </c>
      <c r="E179" s="5" t="s">
        <v>313</v>
      </c>
      <c r="F1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79" s="2" t="str">
        <f>IF(Table1[[#This Row],[Type]]="Major",Table1[[#This Row],[Major Group]],G178)</f>
        <v>17-0000</v>
      </c>
      <c r="H179" s="2" t="str">
        <f>IF(Table1[[#This Row],[Major Group]]&lt;&gt;"","n/a",IF(Table1[[#This Row],[Minor Group]]&lt;&gt;"",Table1[[#This Row],[Minor Group]],H178))</f>
        <v>17-1000</v>
      </c>
      <c r="I179" s="2" t="str">
        <f>IF(Table1[[#This Row],[Major Group]]&lt;&gt;"","n/a",IF(Table1[[#This Row],[Minor Group]]&lt;&gt;"","n/a",IF(Table1[[#This Row],[Broad Group]]&lt;&gt;"",Table1[[#This Row],[Broad Group]],I178)))</f>
        <v>17-1020</v>
      </c>
      <c r="J1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Occupation]],J178))))</f>
        <v>17-1022</v>
      </c>
      <c r="K179" s="2" t="str">
        <f>Table1[[#This Row],[Group Name]]</f>
        <v>Surveyors</v>
      </c>
    </row>
    <row r="180" spans="2:11" x14ac:dyDescent="0.25">
      <c r="B180" s="3" t="s">
        <v>314</v>
      </c>
      <c r="E180" s="3" t="s">
        <v>315</v>
      </c>
      <c r="F1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80" s="2" t="str">
        <f>IF(Table1[[#This Row],[Type]]="Major",Table1[[#This Row],[Major Group]],G179)</f>
        <v>17-0000</v>
      </c>
      <c r="H180" s="2" t="str">
        <f>IF(Table1[[#This Row],[Major Group]]&lt;&gt;"","n/a",IF(Table1[[#This Row],[Minor Group]]&lt;&gt;"",Table1[[#This Row],[Minor Group]],H179))</f>
        <v>17-2000</v>
      </c>
      <c r="I180" s="2" t="str">
        <f>IF(Table1[[#This Row],[Major Group]]&lt;&gt;"","n/a",IF(Table1[[#This Row],[Minor Group]]&lt;&gt;"","n/a",IF(Table1[[#This Row],[Broad Group]]&lt;&gt;"",Table1[[#This Row],[Broad Group]],I179)))</f>
        <v>n/a</v>
      </c>
      <c r="J1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Occupation]],J179))))</f>
        <v>n/a</v>
      </c>
      <c r="K180" s="2" t="str">
        <f>Table1[[#This Row],[Group Name]]</f>
        <v>Engineers</v>
      </c>
    </row>
    <row r="181" spans="2:11" x14ac:dyDescent="0.25">
      <c r="C181" s="1" t="s">
        <v>316</v>
      </c>
      <c r="E181" s="1" t="s">
        <v>317</v>
      </c>
      <c r="F1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81" s="2" t="str">
        <f>IF(Table1[[#This Row],[Type]]="Major",Table1[[#This Row],[Major Group]],G180)</f>
        <v>17-0000</v>
      </c>
      <c r="H181" s="2" t="str">
        <f>IF(Table1[[#This Row],[Major Group]]&lt;&gt;"","n/a",IF(Table1[[#This Row],[Minor Group]]&lt;&gt;"",Table1[[#This Row],[Minor Group]],H180))</f>
        <v>17-2000</v>
      </c>
      <c r="I181" s="2" t="str">
        <f>IF(Table1[[#This Row],[Major Group]]&lt;&gt;"","n/a",IF(Table1[[#This Row],[Minor Group]]&lt;&gt;"","n/a",IF(Table1[[#This Row],[Broad Group]]&lt;&gt;"",Table1[[#This Row],[Broad Group]],I180)))</f>
        <v>17-2010</v>
      </c>
      <c r="J1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Occupation]],J180))))</f>
        <v>n/a</v>
      </c>
      <c r="K181" s="2" t="str">
        <f>Table1[[#This Row],[Group Name]]</f>
        <v>Aerospace Engineers</v>
      </c>
    </row>
    <row r="182" spans="2:11" x14ac:dyDescent="0.25">
      <c r="D182" s="5" t="s">
        <v>318</v>
      </c>
      <c r="E182" s="5" t="s">
        <v>317</v>
      </c>
      <c r="F1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82" s="2" t="str">
        <f>IF(Table1[[#This Row],[Type]]="Major",Table1[[#This Row],[Major Group]],G181)</f>
        <v>17-0000</v>
      </c>
      <c r="H182" s="2" t="str">
        <f>IF(Table1[[#This Row],[Major Group]]&lt;&gt;"","n/a",IF(Table1[[#This Row],[Minor Group]]&lt;&gt;"",Table1[[#This Row],[Minor Group]],H181))</f>
        <v>17-2000</v>
      </c>
      <c r="I182" s="2" t="str">
        <f>IF(Table1[[#This Row],[Major Group]]&lt;&gt;"","n/a",IF(Table1[[#This Row],[Minor Group]]&lt;&gt;"","n/a",IF(Table1[[#This Row],[Broad Group]]&lt;&gt;"",Table1[[#This Row],[Broad Group]],I181)))</f>
        <v>17-2010</v>
      </c>
      <c r="J1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Occupation]],J181))))</f>
        <v>17-2011</v>
      </c>
      <c r="K182" s="2" t="str">
        <f>Table1[[#This Row],[Group Name]]</f>
        <v>Aerospace Engineers</v>
      </c>
    </row>
    <row r="183" spans="2:11" x14ac:dyDescent="0.25">
      <c r="C183" s="1" t="s">
        <v>319</v>
      </c>
      <c r="E183" s="1" t="s">
        <v>320</v>
      </c>
      <c r="F1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83" s="2" t="str">
        <f>IF(Table1[[#This Row],[Type]]="Major",Table1[[#This Row],[Major Group]],G182)</f>
        <v>17-0000</v>
      </c>
      <c r="H183" s="2" t="str">
        <f>IF(Table1[[#This Row],[Major Group]]&lt;&gt;"","n/a",IF(Table1[[#This Row],[Minor Group]]&lt;&gt;"",Table1[[#This Row],[Minor Group]],H182))</f>
        <v>17-2000</v>
      </c>
      <c r="I183" s="2" t="str">
        <f>IF(Table1[[#This Row],[Major Group]]&lt;&gt;"","n/a",IF(Table1[[#This Row],[Minor Group]]&lt;&gt;"","n/a",IF(Table1[[#This Row],[Broad Group]]&lt;&gt;"",Table1[[#This Row],[Broad Group]],I182)))</f>
        <v>17-2020</v>
      </c>
      <c r="J1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Occupation]],J182))))</f>
        <v>n/a</v>
      </c>
      <c r="K183" s="2" t="str">
        <f>Table1[[#This Row],[Group Name]]</f>
        <v>Agricultural Engineers</v>
      </c>
    </row>
    <row r="184" spans="2:11" x14ac:dyDescent="0.25">
      <c r="D184" s="5" t="s">
        <v>321</v>
      </c>
      <c r="E184" s="5" t="s">
        <v>320</v>
      </c>
      <c r="F1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84" s="2" t="str">
        <f>IF(Table1[[#This Row],[Type]]="Major",Table1[[#This Row],[Major Group]],G183)</f>
        <v>17-0000</v>
      </c>
      <c r="H184" s="2" t="str">
        <f>IF(Table1[[#This Row],[Major Group]]&lt;&gt;"","n/a",IF(Table1[[#This Row],[Minor Group]]&lt;&gt;"",Table1[[#This Row],[Minor Group]],H183))</f>
        <v>17-2000</v>
      </c>
      <c r="I184" s="2" t="str">
        <f>IF(Table1[[#This Row],[Major Group]]&lt;&gt;"","n/a",IF(Table1[[#This Row],[Minor Group]]&lt;&gt;"","n/a",IF(Table1[[#This Row],[Broad Group]]&lt;&gt;"",Table1[[#This Row],[Broad Group]],I183)))</f>
        <v>17-2020</v>
      </c>
      <c r="J1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Occupation]],J183))))</f>
        <v>17-2021</v>
      </c>
      <c r="K184" s="2" t="str">
        <f>Table1[[#This Row],[Group Name]]</f>
        <v>Agricultural Engineers</v>
      </c>
    </row>
    <row r="185" spans="2:11" ht="30" x14ac:dyDescent="0.25">
      <c r="C185" s="1" t="s">
        <v>322</v>
      </c>
      <c r="E185" s="1" t="s">
        <v>323</v>
      </c>
      <c r="F1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85" s="2" t="str">
        <f>IF(Table1[[#This Row],[Type]]="Major",Table1[[#This Row],[Major Group]],G184)</f>
        <v>17-0000</v>
      </c>
      <c r="H185" s="2" t="str">
        <f>IF(Table1[[#This Row],[Major Group]]&lt;&gt;"","n/a",IF(Table1[[#This Row],[Minor Group]]&lt;&gt;"",Table1[[#This Row],[Minor Group]],H184))</f>
        <v>17-2000</v>
      </c>
      <c r="I185" s="2" t="str">
        <f>IF(Table1[[#This Row],[Major Group]]&lt;&gt;"","n/a",IF(Table1[[#This Row],[Minor Group]]&lt;&gt;"","n/a",IF(Table1[[#This Row],[Broad Group]]&lt;&gt;"",Table1[[#This Row],[Broad Group]],I184)))</f>
        <v>17-2030</v>
      </c>
      <c r="J1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Occupation]],J184))))</f>
        <v>n/a</v>
      </c>
      <c r="K185" s="2" t="str">
        <f>Table1[[#This Row],[Group Name]]</f>
        <v>Bioengineers and Biomedical Engineers</v>
      </c>
    </row>
    <row r="186" spans="2:11" ht="25.5" x14ac:dyDescent="0.25">
      <c r="D186" s="5" t="s">
        <v>324</v>
      </c>
      <c r="E186" s="5" t="s">
        <v>323</v>
      </c>
      <c r="F1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86" s="2" t="str">
        <f>IF(Table1[[#This Row],[Type]]="Major",Table1[[#This Row],[Major Group]],G185)</f>
        <v>17-0000</v>
      </c>
      <c r="H186" s="2" t="str">
        <f>IF(Table1[[#This Row],[Major Group]]&lt;&gt;"","n/a",IF(Table1[[#This Row],[Minor Group]]&lt;&gt;"",Table1[[#This Row],[Minor Group]],H185))</f>
        <v>17-2000</v>
      </c>
      <c r="I186" s="2" t="str">
        <f>IF(Table1[[#This Row],[Major Group]]&lt;&gt;"","n/a",IF(Table1[[#This Row],[Minor Group]]&lt;&gt;"","n/a",IF(Table1[[#This Row],[Broad Group]]&lt;&gt;"",Table1[[#This Row],[Broad Group]],I185)))</f>
        <v>17-2030</v>
      </c>
      <c r="J1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Occupation]],J185))))</f>
        <v>17-2031</v>
      </c>
      <c r="K186" s="2" t="str">
        <f>Table1[[#This Row],[Group Name]]</f>
        <v>Bioengineers and Biomedical Engineers</v>
      </c>
    </row>
    <row r="187" spans="2:11" x14ac:dyDescent="0.25">
      <c r="C187" s="1" t="s">
        <v>325</v>
      </c>
      <c r="E187" s="1" t="s">
        <v>326</v>
      </c>
      <c r="F1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87" s="2" t="str">
        <f>IF(Table1[[#This Row],[Type]]="Major",Table1[[#This Row],[Major Group]],G186)</f>
        <v>17-0000</v>
      </c>
      <c r="H187" s="2" t="str">
        <f>IF(Table1[[#This Row],[Major Group]]&lt;&gt;"","n/a",IF(Table1[[#This Row],[Minor Group]]&lt;&gt;"",Table1[[#This Row],[Minor Group]],H186))</f>
        <v>17-2000</v>
      </c>
      <c r="I187" s="2" t="str">
        <f>IF(Table1[[#This Row],[Major Group]]&lt;&gt;"","n/a",IF(Table1[[#This Row],[Minor Group]]&lt;&gt;"","n/a",IF(Table1[[#This Row],[Broad Group]]&lt;&gt;"",Table1[[#This Row],[Broad Group]],I186)))</f>
        <v>17-2040</v>
      </c>
      <c r="J1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Occupation]],J186))))</f>
        <v>n/a</v>
      </c>
      <c r="K187" s="2" t="str">
        <f>Table1[[#This Row],[Group Name]]</f>
        <v>Chemical Engineers</v>
      </c>
    </row>
    <row r="188" spans="2:11" x14ac:dyDescent="0.25">
      <c r="D188" s="5" t="s">
        <v>327</v>
      </c>
      <c r="E188" s="5" t="s">
        <v>326</v>
      </c>
      <c r="F1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88" s="2" t="str">
        <f>IF(Table1[[#This Row],[Type]]="Major",Table1[[#This Row],[Major Group]],G187)</f>
        <v>17-0000</v>
      </c>
      <c r="H188" s="2" t="str">
        <f>IF(Table1[[#This Row],[Major Group]]&lt;&gt;"","n/a",IF(Table1[[#This Row],[Minor Group]]&lt;&gt;"",Table1[[#This Row],[Minor Group]],H187))</f>
        <v>17-2000</v>
      </c>
      <c r="I188" s="2" t="str">
        <f>IF(Table1[[#This Row],[Major Group]]&lt;&gt;"","n/a",IF(Table1[[#This Row],[Minor Group]]&lt;&gt;"","n/a",IF(Table1[[#This Row],[Broad Group]]&lt;&gt;"",Table1[[#This Row],[Broad Group]],I187)))</f>
        <v>17-2040</v>
      </c>
      <c r="J1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Occupation]],J187))))</f>
        <v>17-2041</v>
      </c>
      <c r="K188" s="2" t="str">
        <f>Table1[[#This Row],[Group Name]]</f>
        <v>Chemical Engineers</v>
      </c>
    </row>
    <row r="189" spans="2:11" x14ac:dyDescent="0.25">
      <c r="C189" s="1" t="s">
        <v>328</v>
      </c>
      <c r="E189" s="1" t="s">
        <v>329</v>
      </c>
      <c r="F1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89" s="2" t="str">
        <f>IF(Table1[[#This Row],[Type]]="Major",Table1[[#This Row],[Major Group]],G188)</f>
        <v>17-0000</v>
      </c>
      <c r="H189" s="2" t="str">
        <f>IF(Table1[[#This Row],[Major Group]]&lt;&gt;"","n/a",IF(Table1[[#This Row],[Minor Group]]&lt;&gt;"",Table1[[#This Row],[Minor Group]],H188))</f>
        <v>17-2000</v>
      </c>
      <c r="I189" s="2" t="str">
        <f>IF(Table1[[#This Row],[Major Group]]&lt;&gt;"","n/a",IF(Table1[[#This Row],[Minor Group]]&lt;&gt;"","n/a",IF(Table1[[#This Row],[Broad Group]]&lt;&gt;"",Table1[[#This Row],[Broad Group]],I188)))</f>
        <v>17-2050</v>
      </c>
      <c r="J1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Occupation]],J188))))</f>
        <v>n/a</v>
      </c>
      <c r="K189" s="2" t="str">
        <f>Table1[[#This Row],[Group Name]]</f>
        <v>Civil Engineers</v>
      </c>
    </row>
    <row r="190" spans="2:11" x14ac:dyDescent="0.25">
      <c r="D190" s="5" t="s">
        <v>330</v>
      </c>
      <c r="E190" s="5" t="s">
        <v>329</v>
      </c>
      <c r="F1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90" s="2" t="str">
        <f>IF(Table1[[#This Row],[Type]]="Major",Table1[[#This Row],[Major Group]],G189)</f>
        <v>17-0000</v>
      </c>
      <c r="H190" s="2" t="str">
        <f>IF(Table1[[#This Row],[Major Group]]&lt;&gt;"","n/a",IF(Table1[[#This Row],[Minor Group]]&lt;&gt;"",Table1[[#This Row],[Minor Group]],H189))</f>
        <v>17-2000</v>
      </c>
      <c r="I190" s="2" t="str">
        <f>IF(Table1[[#This Row],[Major Group]]&lt;&gt;"","n/a",IF(Table1[[#This Row],[Minor Group]]&lt;&gt;"","n/a",IF(Table1[[#This Row],[Broad Group]]&lt;&gt;"",Table1[[#This Row],[Broad Group]],I189)))</f>
        <v>17-2050</v>
      </c>
      <c r="J1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Occupation]],J189))))</f>
        <v>17-2051</v>
      </c>
      <c r="K190" s="2" t="str">
        <f>Table1[[#This Row],[Group Name]]</f>
        <v>Civil Engineers</v>
      </c>
    </row>
    <row r="191" spans="2:11" x14ac:dyDescent="0.25">
      <c r="C191" s="1" t="s">
        <v>331</v>
      </c>
      <c r="E191" s="1" t="s">
        <v>332</v>
      </c>
      <c r="F1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91" s="2" t="str">
        <f>IF(Table1[[#This Row],[Type]]="Major",Table1[[#This Row],[Major Group]],G190)</f>
        <v>17-0000</v>
      </c>
      <c r="H191" s="2" t="str">
        <f>IF(Table1[[#This Row],[Major Group]]&lt;&gt;"","n/a",IF(Table1[[#This Row],[Minor Group]]&lt;&gt;"",Table1[[#This Row],[Minor Group]],H190))</f>
        <v>17-2000</v>
      </c>
      <c r="I191" s="2" t="str">
        <f>IF(Table1[[#This Row],[Major Group]]&lt;&gt;"","n/a",IF(Table1[[#This Row],[Minor Group]]&lt;&gt;"","n/a",IF(Table1[[#This Row],[Broad Group]]&lt;&gt;"",Table1[[#This Row],[Broad Group]],I190)))</f>
        <v>17-2060</v>
      </c>
      <c r="J1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Occupation]],J190))))</f>
        <v>n/a</v>
      </c>
      <c r="K191" s="2" t="str">
        <f>Table1[[#This Row],[Group Name]]</f>
        <v>Computer Hardware Engineers</v>
      </c>
    </row>
    <row r="192" spans="2:11" x14ac:dyDescent="0.25">
      <c r="D192" s="5" t="s">
        <v>333</v>
      </c>
      <c r="E192" s="5" t="s">
        <v>332</v>
      </c>
      <c r="F1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92" s="2" t="str">
        <f>IF(Table1[[#This Row],[Type]]="Major",Table1[[#This Row],[Major Group]],G191)</f>
        <v>17-0000</v>
      </c>
      <c r="H192" s="2" t="str">
        <f>IF(Table1[[#This Row],[Major Group]]&lt;&gt;"","n/a",IF(Table1[[#This Row],[Minor Group]]&lt;&gt;"",Table1[[#This Row],[Minor Group]],H191))</f>
        <v>17-2000</v>
      </c>
      <c r="I192" s="2" t="str">
        <f>IF(Table1[[#This Row],[Major Group]]&lt;&gt;"","n/a",IF(Table1[[#This Row],[Minor Group]]&lt;&gt;"","n/a",IF(Table1[[#This Row],[Broad Group]]&lt;&gt;"",Table1[[#This Row],[Broad Group]],I191)))</f>
        <v>17-2060</v>
      </c>
      <c r="J1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Occupation]],J191))))</f>
        <v>17-2061</v>
      </c>
      <c r="K192" s="2" t="str">
        <f>Table1[[#This Row],[Group Name]]</f>
        <v>Computer Hardware Engineers</v>
      </c>
    </row>
    <row r="193" spans="3:11" ht="30" x14ac:dyDescent="0.25">
      <c r="C193" s="1" t="s">
        <v>334</v>
      </c>
      <c r="E193" s="1" t="s">
        <v>335</v>
      </c>
      <c r="F1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93" s="2" t="str">
        <f>IF(Table1[[#This Row],[Type]]="Major",Table1[[#This Row],[Major Group]],G192)</f>
        <v>17-0000</v>
      </c>
      <c r="H193" s="2" t="str">
        <f>IF(Table1[[#This Row],[Major Group]]&lt;&gt;"","n/a",IF(Table1[[#This Row],[Minor Group]]&lt;&gt;"",Table1[[#This Row],[Minor Group]],H192))</f>
        <v>17-2000</v>
      </c>
      <c r="I193" s="2" t="str">
        <f>IF(Table1[[#This Row],[Major Group]]&lt;&gt;"","n/a",IF(Table1[[#This Row],[Minor Group]]&lt;&gt;"","n/a",IF(Table1[[#This Row],[Broad Group]]&lt;&gt;"",Table1[[#This Row],[Broad Group]],I192)))</f>
        <v>17-2070</v>
      </c>
      <c r="J1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Occupation]],J192))))</f>
        <v>n/a</v>
      </c>
      <c r="K193" s="2" t="str">
        <f>Table1[[#This Row],[Group Name]]</f>
        <v>Electrical and Electronics Engineers</v>
      </c>
    </row>
    <row r="194" spans="3:11" x14ac:dyDescent="0.25">
      <c r="D194" s="5" t="s">
        <v>336</v>
      </c>
      <c r="E194" s="5" t="s">
        <v>337</v>
      </c>
      <c r="F1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94" s="2" t="str">
        <f>IF(Table1[[#This Row],[Type]]="Major",Table1[[#This Row],[Major Group]],G193)</f>
        <v>17-0000</v>
      </c>
      <c r="H194" s="2" t="str">
        <f>IF(Table1[[#This Row],[Major Group]]&lt;&gt;"","n/a",IF(Table1[[#This Row],[Minor Group]]&lt;&gt;"",Table1[[#This Row],[Minor Group]],H193))</f>
        <v>17-2000</v>
      </c>
      <c r="I194" s="2" t="str">
        <f>IF(Table1[[#This Row],[Major Group]]&lt;&gt;"","n/a",IF(Table1[[#This Row],[Minor Group]]&lt;&gt;"","n/a",IF(Table1[[#This Row],[Broad Group]]&lt;&gt;"",Table1[[#This Row],[Broad Group]],I193)))</f>
        <v>17-2070</v>
      </c>
      <c r="J1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Occupation]],J193))))</f>
        <v>17-2071</v>
      </c>
      <c r="K194" s="2" t="str">
        <f>Table1[[#This Row],[Group Name]]</f>
        <v>Electrical Engineers</v>
      </c>
    </row>
    <row r="195" spans="3:11" ht="25.5" x14ac:dyDescent="0.25">
      <c r="D195" s="5" t="s">
        <v>338</v>
      </c>
      <c r="E195" s="5" t="s">
        <v>339</v>
      </c>
      <c r="F1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95" s="2" t="str">
        <f>IF(Table1[[#This Row],[Type]]="Major",Table1[[#This Row],[Major Group]],G194)</f>
        <v>17-0000</v>
      </c>
      <c r="H195" s="2" t="str">
        <f>IF(Table1[[#This Row],[Major Group]]&lt;&gt;"","n/a",IF(Table1[[#This Row],[Minor Group]]&lt;&gt;"",Table1[[#This Row],[Minor Group]],H194))</f>
        <v>17-2000</v>
      </c>
      <c r="I195" s="2" t="str">
        <f>IF(Table1[[#This Row],[Major Group]]&lt;&gt;"","n/a",IF(Table1[[#This Row],[Minor Group]]&lt;&gt;"","n/a",IF(Table1[[#This Row],[Broad Group]]&lt;&gt;"",Table1[[#This Row],[Broad Group]],I194)))</f>
        <v>17-2070</v>
      </c>
      <c r="J1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Occupation]],J194))))</f>
        <v>17-2072</v>
      </c>
      <c r="K195" s="2" t="str">
        <f>Table1[[#This Row],[Group Name]]</f>
        <v>Electronics Engineers, Except Computer</v>
      </c>
    </row>
    <row r="196" spans="3:11" x14ac:dyDescent="0.25">
      <c r="C196" s="1" t="s">
        <v>340</v>
      </c>
      <c r="E196" s="1" t="s">
        <v>341</v>
      </c>
      <c r="F1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96" s="2" t="str">
        <f>IF(Table1[[#This Row],[Type]]="Major",Table1[[#This Row],[Major Group]],G195)</f>
        <v>17-0000</v>
      </c>
      <c r="H196" s="2" t="str">
        <f>IF(Table1[[#This Row],[Major Group]]&lt;&gt;"","n/a",IF(Table1[[#This Row],[Minor Group]]&lt;&gt;"",Table1[[#This Row],[Minor Group]],H195))</f>
        <v>17-2000</v>
      </c>
      <c r="I196" s="2" t="str">
        <f>IF(Table1[[#This Row],[Major Group]]&lt;&gt;"","n/a",IF(Table1[[#This Row],[Minor Group]]&lt;&gt;"","n/a",IF(Table1[[#This Row],[Broad Group]]&lt;&gt;"",Table1[[#This Row],[Broad Group]],I195)))</f>
        <v>17-2080</v>
      </c>
      <c r="J1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Occupation]],J195))))</f>
        <v>n/a</v>
      </c>
      <c r="K196" s="2" t="str">
        <f>Table1[[#This Row],[Group Name]]</f>
        <v>Environmental Engineers</v>
      </c>
    </row>
    <row r="197" spans="3:11" x14ac:dyDescent="0.25">
      <c r="D197" s="5" t="s">
        <v>342</v>
      </c>
      <c r="E197" s="5" t="s">
        <v>341</v>
      </c>
      <c r="F1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97" s="2" t="str">
        <f>IF(Table1[[#This Row],[Type]]="Major",Table1[[#This Row],[Major Group]],G196)</f>
        <v>17-0000</v>
      </c>
      <c r="H197" s="2" t="str">
        <f>IF(Table1[[#This Row],[Major Group]]&lt;&gt;"","n/a",IF(Table1[[#This Row],[Minor Group]]&lt;&gt;"",Table1[[#This Row],[Minor Group]],H196))</f>
        <v>17-2000</v>
      </c>
      <c r="I197" s="2" t="str">
        <f>IF(Table1[[#This Row],[Major Group]]&lt;&gt;"","n/a",IF(Table1[[#This Row],[Minor Group]]&lt;&gt;"","n/a",IF(Table1[[#This Row],[Broad Group]]&lt;&gt;"",Table1[[#This Row],[Broad Group]],I196)))</f>
        <v>17-2080</v>
      </c>
      <c r="J1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Occupation]],J196))))</f>
        <v>17-2081</v>
      </c>
      <c r="K197" s="2" t="str">
        <f>Table1[[#This Row],[Group Name]]</f>
        <v>Environmental Engineers</v>
      </c>
    </row>
    <row r="198" spans="3:11" ht="30" x14ac:dyDescent="0.25">
      <c r="C198" s="1" t="s">
        <v>343</v>
      </c>
      <c r="E198" s="1" t="s">
        <v>344</v>
      </c>
      <c r="F1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98" s="2" t="str">
        <f>IF(Table1[[#This Row],[Type]]="Major",Table1[[#This Row],[Major Group]],G197)</f>
        <v>17-0000</v>
      </c>
      <c r="H198" s="2" t="str">
        <f>IF(Table1[[#This Row],[Major Group]]&lt;&gt;"","n/a",IF(Table1[[#This Row],[Minor Group]]&lt;&gt;"",Table1[[#This Row],[Minor Group]],H197))</f>
        <v>17-2000</v>
      </c>
      <c r="I198" s="2" t="str">
        <f>IF(Table1[[#This Row],[Major Group]]&lt;&gt;"","n/a",IF(Table1[[#This Row],[Minor Group]]&lt;&gt;"","n/a",IF(Table1[[#This Row],[Broad Group]]&lt;&gt;"",Table1[[#This Row],[Broad Group]],I197)))</f>
        <v>17-2110</v>
      </c>
      <c r="J1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Occupation]],J197))))</f>
        <v>n/a</v>
      </c>
      <c r="K198" s="2" t="str">
        <f>Table1[[#This Row],[Group Name]]</f>
        <v>Industrial Engineers, Including Health and Safety</v>
      </c>
    </row>
    <row r="199" spans="3:11" ht="38.25" x14ac:dyDescent="0.25">
      <c r="D199" s="5" t="s">
        <v>345</v>
      </c>
      <c r="E199" s="5" t="s">
        <v>346</v>
      </c>
      <c r="F1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99" s="2" t="str">
        <f>IF(Table1[[#This Row],[Type]]="Major",Table1[[#This Row],[Major Group]],G198)</f>
        <v>17-0000</v>
      </c>
      <c r="H199" s="2" t="str">
        <f>IF(Table1[[#This Row],[Major Group]]&lt;&gt;"","n/a",IF(Table1[[#This Row],[Minor Group]]&lt;&gt;"",Table1[[#This Row],[Minor Group]],H198))</f>
        <v>17-2000</v>
      </c>
      <c r="I199" s="2" t="str">
        <f>IF(Table1[[#This Row],[Major Group]]&lt;&gt;"","n/a",IF(Table1[[#This Row],[Minor Group]]&lt;&gt;"","n/a",IF(Table1[[#This Row],[Broad Group]]&lt;&gt;"",Table1[[#This Row],[Broad Group]],I198)))</f>
        <v>17-2110</v>
      </c>
      <c r="J1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Occupation]],J198))))</f>
        <v>17-2111</v>
      </c>
      <c r="K199" s="2" t="str">
        <f>Table1[[#This Row],[Group Name]]</f>
        <v>Health and Safety Engineers, Except Mining Safety Engineers and Inspectors</v>
      </c>
    </row>
    <row r="200" spans="3:11" x14ac:dyDescent="0.25">
      <c r="D200" s="5" t="s">
        <v>347</v>
      </c>
      <c r="E200" s="5" t="s">
        <v>348</v>
      </c>
      <c r="F2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00" s="2" t="str">
        <f>IF(Table1[[#This Row],[Type]]="Major",Table1[[#This Row],[Major Group]],G199)</f>
        <v>17-0000</v>
      </c>
      <c r="H200" s="2" t="str">
        <f>IF(Table1[[#This Row],[Major Group]]&lt;&gt;"","n/a",IF(Table1[[#This Row],[Minor Group]]&lt;&gt;"",Table1[[#This Row],[Minor Group]],H199))</f>
        <v>17-2000</v>
      </c>
      <c r="I200" s="2" t="str">
        <f>IF(Table1[[#This Row],[Major Group]]&lt;&gt;"","n/a",IF(Table1[[#This Row],[Minor Group]]&lt;&gt;"","n/a",IF(Table1[[#This Row],[Broad Group]]&lt;&gt;"",Table1[[#This Row],[Broad Group]],I199)))</f>
        <v>17-2110</v>
      </c>
      <c r="J2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Occupation]],J199))))</f>
        <v>17-2112</v>
      </c>
      <c r="K200" s="2" t="str">
        <f>Table1[[#This Row],[Group Name]]</f>
        <v>Industrial Engineers</v>
      </c>
    </row>
    <row r="201" spans="3:11" ht="30" x14ac:dyDescent="0.25">
      <c r="C201" s="1" t="s">
        <v>349</v>
      </c>
      <c r="E201" s="1" t="s">
        <v>350</v>
      </c>
      <c r="F2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01" s="2" t="str">
        <f>IF(Table1[[#This Row],[Type]]="Major",Table1[[#This Row],[Major Group]],G200)</f>
        <v>17-0000</v>
      </c>
      <c r="H201" s="2" t="str">
        <f>IF(Table1[[#This Row],[Major Group]]&lt;&gt;"","n/a",IF(Table1[[#This Row],[Minor Group]]&lt;&gt;"",Table1[[#This Row],[Minor Group]],H200))</f>
        <v>17-2000</v>
      </c>
      <c r="I201" s="2" t="str">
        <f>IF(Table1[[#This Row],[Major Group]]&lt;&gt;"","n/a",IF(Table1[[#This Row],[Minor Group]]&lt;&gt;"","n/a",IF(Table1[[#This Row],[Broad Group]]&lt;&gt;"",Table1[[#This Row],[Broad Group]],I200)))</f>
        <v>17-2120</v>
      </c>
      <c r="J2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Occupation]],J200))))</f>
        <v>n/a</v>
      </c>
      <c r="K201" s="2" t="str">
        <f>Table1[[#This Row],[Group Name]]</f>
        <v>Marine Engineers and Naval Architects</v>
      </c>
    </row>
    <row r="202" spans="3:11" x14ac:dyDescent="0.25">
      <c r="D202" s="5" t="s">
        <v>351</v>
      </c>
      <c r="E202" s="5" t="s">
        <v>350</v>
      </c>
      <c r="F2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02" s="2" t="str">
        <f>IF(Table1[[#This Row],[Type]]="Major",Table1[[#This Row],[Major Group]],G201)</f>
        <v>17-0000</v>
      </c>
      <c r="H202" s="2" t="str">
        <f>IF(Table1[[#This Row],[Major Group]]&lt;&gt;"","n/a",IF(Table1[[#This Row],[Minor Group]]&lt;&gt;"",Table1[[#This Row],[Minor Group]],H201))</f>
        <v>17-2000</v>
      </c>
      <c r="I202" s="2" t="str">
        <f>IF(Table1[[#This Row],[Major Group]]&lt;&gt;"","n/a",IF(Table1[[#This Row],[Minor Group]]&lt;&gt;"","n/a",IF(Table1[[#This Row],[Broad Group]]&lt;&gt;"",Table1[[#This Row],[Broad Group]],I201)))</f>
        <v>17-2120</v>
      </c>
      <c r="J2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Occupation]],J201))))</f>
        <v>17-2121</v>
      </c>
      <c r="K202" s="2" t="str">
        <f>Table1[[#This Row],[Group Name]]</f>
        <v>Marine Engineers and Naval Architects</v>
      </c>
    </row>
    <row r="203" spans="3:11" x14ac:dyDescent="0.25">
      <c r="C203" s="1" t="s">
        <v>352</v>
      </c>
      <c r="E203" s="1" t="s">
        <v>353</v>
      </c>
      <c r="F2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03" s="2" t="str">
        <f>IF(Table1[[#This Row],[Type]]="Major",Table1[[#This Row],[Major Group]],G202)</f>
        <v>17-0000</v>
      </c>
      <c r="H203" s="2" t="str">
        <f>IF(Table1[[#This Row],[Major Group]]&lt;&gt;"","n/a",IF(Table1[[#This Row],[Minor Group]]&lt;&gt;"",Table1[[#This Row],[Minor Group]],H202))</f>
        <v>17-2000</v>
      </c>
      <c r="I203" s="2" t="str">
        <f>IF(Table1[[#This Row],[Major Group]]&lt;&gt;"","n/a",IF(Table1[[#This Row],[Minor Group]]&lt;&gt;"","n/a",IF(Table1[[#This Row],[Broad Group]]&lt;&gt;"",Table1[[#This Row],[Broad Group]],I202)))</f>
        <v>17-2130</v>
      </c>
      <c r="J2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Occupation]],J202))))</f>
        <v>n/a</v>
      </c>
      <c r="K203" s="2" t="str">
        <f>Table1[[#This Row],[Group Name]]</f>
        <v>Materials Engineers</v>
      </c>
    </row>
    <row r="204" spans="3:11" x14ac:dyDescent="0.25">
      <c r="D204" s="5" t="s">
        <v>354</v>
      </c>
      <c r="E204" s="5" t="s">
        <v>353</v>
      </c>
      <c r="F2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04" s="2" t="str">
        <f>IF(Table1[[#This Row],[Type]]="Major",Table1[[#This Row],[Major Group]],G203)</f>
        <v>17-0000</v>
      </c>
      <c r="H204" s="2" t="str">
        <f>IF(Table1[[#This Row],[Major Group]]&lt;&gt;"","n/a",IF(Table1[[#This Row],[Minor Group]]&lt;&gt;"",Table1[[#This Row],[Minor Group]],H203))</f>
        <v>17-2000</v>
      </c>
      <c r="I204" s="2" t="str">
        <f>IF(Table1[[#This Row],[Major Group]]&lt;&gt;"","n/a",IF(Table1[[#This Row],[Minor Group]]&lt;&gt;"","n/a",IF(Table1[[#This Row],[Broad Group]]&lt;&gt;"",Table1[[#This Row],[Broad Group]],I203)))</f>
        <v>17-2130</v>
      </c>
      <c r="J2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Occupation]],J203))))</f>
        <v>17-2131</v>
      </c>
      <c r="K204" s="2" t="str">
        <f>Table1[[#This Row],[Group Name]]</f>
        <v>Materials Engineers</v>
      </c>
    </row>
    <row r="205" spans="3:11" x14ac:dyDescent="0.25">
      <c r="C205" s="1" t="s">
        <v>355</v>
      </c>
      <c r="E205" s="1" t="s">
        <v>356</v>
      </c>
      <c r="F2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05" s="2" t="str">
        <f>IF(Table1[[#This Row],[Type]]="Major",Table1[[#This Row],[Major Group]],G204)</f>
        <v>17-0000</v>
      </c>
      <c r="H205" s="2" t="str">
        <f>IF(Table1[[#This Row],[Major Group]]&lt;&gt;"","n/a",IF(Table1[[#This Row],[Minor Group]]&lt;&gt;"",Table1[[#This Row],[Minor Group]],H204))</f>
        <v>17-2000</v>
      </c>
      <c r="I205" s="2" t="str">
        <f>IF(Table1[[#This Row],[Major Group]]&lt;&gt;"","n/a",IF(Table1[[#This Row],[Minor Group]]&lt;&gt;"","n/a",IF(Table1[[#This Row],[Broad Group]]&lt;&gt;"",Table1[[#This Row],[Broad Group]],I204)))</f>
        <v>17-2140</v>
      </c>
      <c r="J2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Occupation]],J204))))</f>
        <v>n/a</v>
      </c>
      <c r="K205" s="2" t="str">
        <f>Table1[[#This Row],[Group Name]]</f>
        <v>Mechanical Engineers</v>
      </c>
    </row>
    <row r="206" spans="3:11" x14ac:dyDescent="0.25">
      <c r="D206" s="5" t="s">
        <v>357</v>
      </c>
      <c r="E206" s="5" t="s">
        <v>356</v>
      </c>
      <c r="F2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06" s="2" t="str">
        <f>IF(Table1[[#This Row],[Type]]="Major",Table1[[#This Row],[Major Group]],G205)</f>
        <v>17-0000</v>
      </c>
      <c r="H206" s="2" t="str">
        <f>IF(Table1[[#This Row],[Major Group]]&lt;&gt;"","n/a",IF(Table1[[#This Row],[Minor Group]]&lt;&gt;"",Table1[[#This Row],[Minor Group]],H205))</f>
        <v>17-2000</v>
      </c>
      <c r="I206" s="2" t="str">
        <f>IF(Table1[[#This Row],[Major Group]]&lt;&gt;"","n/a",IF(Table1[[#This Row],[Minor Group]]&lt;&gt;"","n/a",IF(Table1[[#This Row],[Broad Group]]&lt;&gt;"",Table1[[#This Row],[Broad Group]],I205)))</f>
        <v>17-2140</v>
      </c>
      <c r="J2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Occupation]],J205))))</f>
        <v>17-2141</v>
      </c>
      <c r="K206" s="2" t="str">
        <f>Table1[[#This Row],[Group Name]]</f>
        <v>Mechanical Engineers</v>
      </c>
    </row>
    <row r="207" spans="3:11" ht="30" x14ac:dyDescent="0.25">
      <c r="C207" s="1" t="s">
        <v>358</v>
      </c>
      <c r="E207" s="1" t="s">
        <v>359</v>
      </c>
      <c r="F2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07" s="2" t="str">
        <f>IF(Table1[[#This Row],[Type]]="Major",Table1[[#This Row],[Major Group]],G206)</f>
        <v>17-0000</v>
      </c>
      <c r="H207" s="2" t="str">
        <f>IF(Table1[[#This Row],[Major Group]]&lt;&gt;"","n/a",IF(Table1[[#This Row],[Minor Group]]&lt;&gt;"",Table1[[#This Row],[Minor Group]],H206))</f>
        <v>17-2000</v>
      </c>
      <c r="I207" s="2" t="str">
        <f>IF(Table1[[#This Row],[Major Group]]&lt;&gt;"","n/a",IF(Table1[[#This Row],[Minor Group]]&lt;&gt;"","n/a",IF(Table1[[#This Row],[Broad Group]]&lt;&gt;"",Table1[[#This Row],[Broad Group]],I206)))</f>
        <v>17-2150</v>
      </c>
      <c r="J2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Occupation]],J206))))</f>
        <v>n/a</v>
      </c>
      <c r="K207" s="2" t="str">
        <f>Table1[[#This Row],[Group Name]]</f>
        <v>Mining and Geological Engineers, Including Mining Safety Engineers</v>
      </c>
    </row>
    <row r="208" spans="3:11" ht="25.5" x14ac:dyDescent="0.25">
      <c r="D208" s="5" t="s">
        <v>360</v>
      </c>
      <c r="E208" s="5" t="s">
        <v>359</v>
      </c>
      <c r="F2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08" s="2" t="str">
        <f>IF(Table1[[#This Row],[Type]]="Major",Table1[[#This Row],[Major Group]],G207)</f>
        <v>17-0000</v>
      </c>
      <c r="H208" s="2" t="str">
        <f>IF(Table1[[#This Row],[Major Group]]&lt;&gt;"","n/a",IF(Table1[[#This Row],[Minor Group]]&lt;&gt;"",Table1[[#This Row],[Minor Group]],H207))</f>
        <v>17-2000</v>
      </c>
      <c r="I208" s="2" t="str">
        <f>IF(Table1[[#This Row],[Major Group]]&lt;&gt;"","n/a",IF(Table1[[#This Row],[Minor Group]]&lt;&gt;"","n/a",IF(Table1[[#This Row],[Broad Group]]&lt;&gt;"",Table1[[#This Row],[Broad Group]],I207)))</f>
        <v>17-2150</v>
      </c>
      <c r="J2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Occupation]],J207))))</f>
        <v>17-2151</v>
      </c>
      <c r="K208" s="2" t="str">
        <f>Table1[[#This Row],[Group Name]]</f>
        <v>Mining and Geological Engineers, Including Mining Safety Engineers</v>
      </c>
    </row>
    <row r="209" spans="2:11" x14ac:dyDescent="0.25">
      <c r="C209" s="1" t="s">
        <v>361</v>
      </c>
      <c r="E209" s="1" t="s">
        <v>362</v>
      </c>
      <c r="F2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09" s="2" t="str">
        <f>IF(Table1[[#This Row],[Type]]="Major",Table1[[#This Row],[Major Group]],G208)</f>
        <v>17-0000</v>
      </c>
      <c r="H209" s="2" t="str">
        <f>IF(Table1[[#This Row],[Major Group]]&lt;&gt;"","n/a",IF(Table1[[#This Row],[Minor Group]]&lt;&gt;"",Table1[[#This Row],[Minor Group]],H208))</f>
        <v>17-2000</v>
      </c>
      <c r="I209" s="2" t="str">
        <f>IF(Table1[[#This Row],[Major Group]]&lt;&gt;"","n/a",IF(Table1[[#This Row],[Minor Group]]&lt;&gt;"","n/a",IF(Table1[[#This Row],[Broad Group]]&lt;&gt;"",Table1[[#This Row],[Broad Group]],I208)))</f>
        <v>17-2160</v>
      </c>
      <c r="J2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Occupation]],J208))))</f>
        <v>n/a</v>
      </c>
      <c r="K209" s="2" t="str">
        <f>Table1[[#This Row],[Group Name]]</f>
        <v>Nuclear Engineers</v>
      </c>
    </row>
    <row r="210" spans="2:11" x14ac:dyDescent="0.25">
      <c r="D210" s="5" t="s">
        <v>363</v>
      </c>
      <c r="E210" s="5" t="s">
        <v>362</v>
      </c>
      <c r="F2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10" s="2" t="str">
        <f>IF(Table1[[#This Row],[Type]]="Major",Table1[[#This Row],[Major Group]],G209)</f>
        <v>17-0000</v>
      </c>
      <c r="H210" s="2" t="str">
        <f>IF(Table1[[#This Row],[Major Group]]&lt;&gt;"","n/a",IF(Table1[[#This Row],[Minor Group]]&lt;&gt;"",Table1[[#This Row],[Minor Group]],H209))</f>
        <v>17-2000</v>
      </c>
      <c r="I210" s="2" t="str">
        <f>IF(Table1[[#This Row],[Major Group]]&lt;&gt;"","n/a",IF(Table1[[#This Row],[Minor Group]]&lt;&gt;"","n/a",IF(Table1[[#This Row],[Broad Group]]&lt;&gt;"",Table1[[#This Row],[Broad Group]],I209)))</f>
        <v>17-2160</v>
      </c>
      <c r="J2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Occupation]],J209))))</f>
        <v>17-2161</v>
      </c>
      <c r="K210" s="2" t="str">
        <f>Table1[[#This Row],[Group Name]]</f>
        <v>Nuclear Engineers</v>
      </c>
    </row>
    <row r="211" spans="2:11" x14ac:dyDescent="0.25">
      <c r="C211" s="1" t="s">
        <v>364</v>
      </c>
      <c r="E211" s="1" t="s">
        <v>365</v>
      </c>
      <c r="F2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11" s="2" t="str">
        <f>IF(Table1[[#This Row],[Type]]="Major",Table1[[#This Row],[Major Group]],G210)</f>
        <v>17-0000</v>
      </c>
      <c r="H211" s="2" t="str">
        <f>IF(Table1[[#This Row],[Major Group]]&lt;&gt;"","n/a",IF(Table1[[#This Row],[Minor Group]]&lt;&gt;"",Table1[[#This Row],[Minor Group]],H210))</f>
        <v>17-2000</v>
      </c>
      <c r="I211" s="2" t="str">
        <f>IF(Table1[[#This Row],[Major Group]]&lt;&gt;"","n/a",IF(Table1[[#This Row],[Minor Group]]&lt;&gt;"","n/a",IF(Table1[[#This Row],[Broad Group]]&lt;&gt;"",Table1[[#This Row],[Broad Group]],I210)))</f>
        <v>17-2170</v>
      </c>
      <c r="J2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Occupation]],J210))))</f>
        <v>n/a</v>
      </c>
      <c r="K211" s="2" t="str">
        <f>Table1[[#This Row],[Group Name]]</f>
        <v>Petroleum Engineers</v>
      </c>
    </row>
    <row r="212" spans="2:11" x14ac:dyDescent="0.25">
      <c r="D212" s="5" t="s">
        <v>366</v>
      </c>
      <c r="E212" s="5" t="s">
        <v>365</v>
      </c>
      <c r="F2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12" s="2" t="str">
        <f>IF(Table1[[#This Row],[Type]]="Major",Table1[[#This Row],[Major Group]],G211)</f>
        <v>17-0000</v>
      </c>
      <c r="H212" s="2" t="str">
        <f>IF(Table1[[#This Row],[Major Group]]&lt;&gt;"","n/a",IF(Table1[[#This Row],[Minor Group]]&lt;&gt;"",Table1[[#This Row],[Minor Group]],H211))</f>
        <v>17-2000</v>
      </c>
      <c r="I212" s="2" t="str">
        <f>IF(Table1[[#This Row],[Major Group]]&lt;&gt;"","n/a",IF(Table1[[#This Row],[Minor Group]]&lt;&gt;"","n/a",IF(Table1[[#This Row],[Broad Group]]&lt;&gt;"",Table1[[#This Row],[Broad Group]],I211)))</f>
        <v>17-2170</v>
      </c>
      <c r="J2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Occupation]],J211))))</f>
        <v>17-2171</v>
      </c>
      <c r="K212" s="2" t="str">
        <f>Table1[[#This Row],[Group Name]]</f>
        <v>Petroleum Engineers</v>
      </c>
    </row>
    <row r="213" spans="2:11" x14ac:dyDescent="0.25">
      <c r="C213" s="1" t="s">
        <v>367</v>
      </c>
      <c r="E213" s="1" t="s">
        <v>368</v>
      </c>
      <c r="F2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13" s="2" t="str">
        <f>IF(Table1[[#This Row],[Type]]="Major",Table1[[#This Row],[Major Group]],G212)</f>
        <v>17-0000</v>
      </c>
      <c r="H213" s="2" t="str">
        <f>IF(Table1[[#This Row],[Major Group]]&lt;&gt;"","n/a",IF(Table1[[#This Row],[Minor Group]]&lt;&gt;"",Table1[[#This Row],[Minor Group]],H212))</f>
        <v>17-2000</v>
      </c>
      <c r="I213" s="2" t="str">
        <f>IF(Table1[[#This Row],[Major Group]]&lt;&gt;"","n/a",IF(Table1[[#This Row],[Minor Group]]&lt;&gt;"","n/a",IF(Table1[[#This Row],[Broad Group]]&lt;&gt;"",Table1[[#This Row],[Broad Group]],I212)))</f>
        <v>17-2190</v>
      </c>
      <c r="J2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Occupation]],J212))))</f>
        <v>n/a</v>
      </c>
      <c r="K213" s="2" t="str">
        <f>Table1[[#This Row],[Group Name]]</f>
        <v>Miscellaneous Engineers</v>
      </c>
    </row>
    <row r="214" spans="2:11" x14ac:dyDescent="0.25">
      <c r="D214" s="5" t="s">
        <v>369</v>
      </c>
      <c r="E214" s="5" t="s">
        <v>370</v>
      </c>
      <c r="F2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14" s="2" t="str">
        <f>IF(Table1[[#This Row],[Type]]="Major",Table1[[#This Row],[Major Group]],G213)</f>
        <v>17-0000</v>
      </c>
      <c r="H214" s="2" t="str">
        <f>IF(Table1[[#This Row],[Major Group]]&lt;&gt;"","n/a",IF(Table1[[#This Row],[Minor Group]]&lt;&gt;"",Table1[[#This Row],[Minor Group]],H213))</f>
        <v>17-2000</v>
      </c>
      <c r="I214" s="2" t="str">
        <f>IF(Table1[[#This Row],[Major Group]]&lt;&gt;"","n/a",IF(Table1[[#This Row],[Minor Group]]&lt;&gt;"","n/a",IF(Table1[[#This Row],[Broad Group]]&lt;&gt;"",Table1[[#This Row],[Broad Group]],I213)))</f>
        <v>17-2190</v>
      </c>
      <c r="J2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Occupation]],J213))))</f>
        <v>17-2199</v>
      </c>
      <c r="K214" s="2" t="str">
        <f>Table1[[#This Row],[Group Name]]</f>
        <v>Engineers, All Other</v>
      </c>
    </row>
    <row r="215" spans="2:11" x14ac:dyDescent="0.25">
      <c r="B215" s="3" t="s">
        <v>371</v>
      </c>
      <c r="E215" s="3" t="s">
        <v>372</v>
      </c>
      <c r="F2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215" s="2" t="str">
        <f>IF(Table1[[#This Row],[Type]]="Major",Table1[[#This Row],[Major Group]],G214)</f>
        <v>17-0000</v>
      </c>
      <c r="H215" s="2" t="str">
        <f>IF(Table1[[#This Row],[Major Group]]&lt;&gt;"","n/a",IF(Table1[[#This Row],[Minor Group]]&lt;&gt;"",Table1[[#This Row],[Minor Group]],H214))</f>
        <v>17-3000</v>
      </c>
      <c r="I215" s="2" t="str">
        <f>IF(Table1[[#This Row],[Major Group]]&lt;&gt;"","n/a",IF(Table1[[#This Row],[Minor Group]]&lt;&gt;"","n/a",IF(Table1[[#This Row],[Broad Group]]&lt;&gt;"",Table1[[#This Row],[Broad Group]],I214)))</f>
        <v>n/a</v>
      </c>
      <c r="J2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Occupation]],J214))))</f>
        <v>n/a</v>
      </c>
      <c r="K215" s="2" t="str">
        <f>Table1[[#This Row],[Group Name]]</f>
        <v>Drafters, Engineering Technicians, and Mapping Technicians</v>
      </c>
    </row>
    <row r="216" spans="2:11" x14ac:dyDescent="0.25">
      <c r="C216" s="1" t="s">
        <v>373</v>
      </c>
      <c r="E216" s="1" t="s">
        <v>374</v>
      </c>
      <c r="F2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16" s="2" t="str">
        <f>IF(Table1[[#This Row],[Type]]="Major",Table1[[#This Row],[Major Group]],G215)</f>
        <v>17-0000</v>
      </c>
      <c r="H216" s="2" t="str">
        <f>IF(Table1[[#This Row],[Major Group]]&lt;&gt;"","n/a",IF(Table1[[#This Row],[Minor Group]]&lt;&gt;"",Table1[[#This Row],[Minor Group]],H215))</f>
        <v>17-3000</v>
      </c>
      <c r="I216" s="2" t="str">
        <f>IF(Table1[[#This Row],[Major Group]]&lt;&gt;"","n/a",IF(Table1[[#This Row],[Minor Group]]&lt;&gt;"","n/a",IF(Table1[[#This Row],[Broad Group]]&lt;&gt;"",Table1[[#This Row],[Broad Group]],I215)))</f>
        <v>17-3010</v>
      </c>
      <c r="J2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Occupation]],J215))))</f>
        <v>n/a</v>
      </c>
      <c r="K216" s="2" t="str">
        <f>Table1[[#This Row],[Group Name]]</f>
        <v>Drafters</v>
      </c>
    </row>
    <row r="217" spans="2:11" x14ac:dyDescent="0.25">
      <c r="D217" s="5" t="s">
        <v>375</v>
      </c>
      <c r="E217" s="5" t="s">
        <v>376</v>
      </c>
      <c r="F2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17" s="2" t="str">
        <f>IF(Table1[[#This Row],[Type]]="Major",Table1[[#This Row],[Major Group]],G216)</f>
        <v>17-0000</v>
      </c>
      <c r="H217" s="2" t="str">
        <f>IF(Table1[[#This Row],[Major Group]]&lt;&gt;"","n/a",IF(Table1[[#This Row],[Minor Group]]&lt;&gt;"",Table1[[#This Row],[Minor Group]],H216))</f>
        <v>17-3000</v>
      </c>
      <c r="I217" s="2" t="str">
        <f>IF(Table1[[#This Row],[Major Group]]&lt;&gt;"","n/a",IF(Table1[[#This Row],[Minor Group]]&lt;&gt;"","n/a",IF(Table1[[#This Row],[Broad Group]]&lt;&gt;"",Table1[[#This Row],[Broad Group]],I216)))</f>
        <v>17-3010</v>
      </c>
      <c r="J2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Occupation]],J216))))</f>
        <v>17-3011</v>
      </c>
      <c r="K217" s="2" t="str">
        <f>Table1[[#This Row],[Group Name]]</f>
        <v>Architectural and Civil Drafters</v>
      </c>
    </row>
    <row r="218" spans="2:11" x14ac:dyDescent="0.25">
      <c r="D218" s="5" t="s">
        <v>377</v>
      </c>
      <c r="E218" s="5" t="s">
        <v>378</v>
      </c>
      <c r="F2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18" s="2" t="str">
        <f>IF(Table1[[#This Row],[Type]]="Major",Table1[[#This Row],[Major Group]],G217)</f>
        <v>17-0000</v>
      </c>
      <c r="H218" s="2" t="str">
        <f>IF(Table1[[#This Row],[Major Group]]&lt;&gt;"","n/a",IF(Table1[[#This Row],[Minor Group]]&lt;&gt;"",Table1[[#This Row],[Minor Group]],H217))</f>
        <v>17-3000</v>
      </c>
      <c r="I218" s="2" t="str">
        <f>IF(Table1[[#This Row],[Major Group]]&lt;&gt;"","n/a",IF(Table1[[#This Row],[Minor Group]]&lt;&gt;"","n/a",IF(Table1[[#This Row],[Broad Group]]&lt;&gt;"",Table1[[#This Row],[Broad Group]],I217)))</f>
        <v>17-3010</v>
      </c>
      <c r="J2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Occupation]],J217))))</f>
        <v>17-3012</v>
      </c>
      <c r="K218" s="2" t="str">
        <f>Table1[[#This Row],[Group Name]]</f>
        <v>Electrical and Electronics Drafters</v>
      </c>
    </row>
    <row r="219" spans="2:11" x14ac:dyDescent="0.25">
      <c r="D219" s="5" t="s">
        <v>379</v>
      </c>
      <c r="E219" s="5" t="s">
        <v>380</v>
      </c>
      <c r="F2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19" s="2" t="str">
        <f>IF(Table1[[#This Row],[Type]]="Major",Table1[[#This Row],[Major Group]],G218)</f>
        <v>17-0000</v>
      </c>
      <c r="H219" s="2" t="str">
        <f>IF(Table1[[#This Row],[Major Group]]&lt;&gt;"","n/a",IF(Table1[[#This Row],[Minor Group]]&lt;&gt;"",Table1[[#This Row],[Minor Group]],H218))</f>
        <v>17-3000</v>
      </c>
      <c r="I219" s="2" t="str">
        <f>IF(Table1[[#This Row],[Major Group]]&lt;&gt;"","n/a",IF(Table1[[#This Row],[Minor Group]]&lt;&gt;"","n/a",IF(Table1[[#This Row],[Broad Group]]&lt;&gt;"",Table1[[#This Row],[Broad Group]],I218)))</f>
        <v>17-3010</v>
      </c>
      <c r="J2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Occupation]],J218))))</f>
        <v>17-3013</v>
      </c>
      <c r="K219" s="2" t="str">
        <f>Table1[[#This Row],[Group Name]]</f>
        <v>Mechanical Drafters</v>
      </c>
    </row>
    <row r="220" spans="2:11" x14ac:dyDescent="0.25">
      <c r="D220" s="5" t="s">
        <v>381</v>
      </c>
      <c r="E220" s="5" t="s">
        <v>382</v>
      </c>
      <c r="F2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0" s="2" t="str">
        <f>IF(Table1[[#This Row],[Type]]="Major",Table1[[#This Row],[Major Group]],G219)</f>
        <v>17-0000</v>
      </c>
      <c r="H220" s="2" t="str">
        <f>IF(Table1[[#This Row],[Major Group]]&lt;&gt;"","n/a",IF(Table1[[#This Row],[Minor Group]]&lt;&gt;"",Table1[[#This Row],[Minor Group]],H219))</f>
        <v>17-3000</v>
      </c>
      <c r="I220" s="2" t="str">
        <f>IF(Table1[[#This Row],[Major Group]]&lt;&gt;"","n/a",IF(Table1[[#This Row],[Minor Group]]&lt;&gt;"","n/a",IF(Table1[[#This Row],[Broad Group]]&lt;&gt;"",Table1[[#This Row],[Broad Group]],I219)))</f>
        <v>17-3010</v>
      </c>
      <c r="J2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Occupation]],J219))))</f>
        <v>17-3019</v>
      </c>
      <c r="K220" s="2" t="str">
        <f>Table1[[#This Row],[Group Name]]</f>
        <v>Drafters, All Other</v>
      </c>
    </row>
    <row r="221" spans="2:11" ht="30" x14ac:dyDescent="0.25">
      <c r="C221" s="1" t="s">
        <v>383</v>
      </c>
      <c r="E221" s="1" t="s">
        <v>384</v>
      </c>
      <c r="F2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21" s="2" t="str">
        <f>IF(Table1[[#This Row],[Type]]="Major",Table1[[#This Row],[Major Group]],G220)</f>
        <v>17-0000</v>
      </c>
      <c r="H221" s="2" t="str">
        <f>IF(Table1[[#This Row],[Major Group]]&lt;&gt;"","n/a",IF(Table1[[#This Row],[Minor Group]]&lt;&gt;"",Table1[[#This Row],[Minor Group]],H220))</f>
        <v>17-3000</v>
      </c>
      <c r="I221" s="2" t="str">
        <f>IF(Table1[[#This Row],[Major Group]]&lt;&gt;"","n/a",IF(Table1[[#This Row],[Minor Group]]&lt;&gt;"","n/a",IF(Table1[[#This Row],[Broad Group]]&lt;&gt;"",Table1[[#This Row],[Broad Group]],I220)))</f>
        <v>17-3020</v>
      </c>
      <c r="J2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Occupation]],J220))))</f>
        <v>n/a</v>
      </c>
      <c r="K221" s="2" t="str">
        <f>Table1[[#This Row],[Group Name]]</f>
        <v>Engineering Technologists and Technicians, Except Drafters</v>
      </c>
    </row>
    <row r="222" spans="2:11" ht="25.5" x14ac:dyDescent="0.25">
      <c r="D222" s="5" t="s">
        <v>385</v>
      </c>
      <c r="E222" s="5" t="s">
        <v>386</v>
      </c>
      <c r="F2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2" s="2" t="str">
        <f>IF(Table1[[#This Row],[Type]]="Major",Table1[[#This Row],[Major Group]],G221)</f>
        <v>17-0000</v>
      </c>
      <c r="H222" s="2" t="str">
        <f>IF(Table1[[#This Row],[Major Group]]&lt;&gt;"","n/a",IF(Table1[[#This Row],[Minor Group]]&lt;&gt;"",Table1[[#This Row],[Minor Group]],H221))</f>
        <v>17-3000</v>
      </c>
      <c r="I222" s="2" t="str">
        <f>IF(Table1[[#This Row],[Major Group]]&lt;&gt;"","n/a",IF(Table1[[#This Row],[Minor Group]]&lt;&gt;"","n/a",IF(Table1[[#This Row],[Broad Group]]&lt;&gt;"",Table1[[#This Row],[Broad Group]],I221)))</f>
        <v>17-3020</v>
      </c>
      <c r="J2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Occupation]],J221))))</f>
        <v>17-3021</v>
      </c>
      <c r="K222" s="2" t="str">
        <f>Table1[[#This Row],[Group Name]]</f>
        <v>Aerospace Engineering and Operations Technologists and Technicians</v>
      </c>
    </row>
    <row r="223" spans="2:11" ht="25.5" x14ac:dyDescent="0.25">
      <c r="D223" s="5" t="s">
        <v>387</v>
      </c>
      <c r="E223" s="5" t="s">
        <v>388</v>
      </c>
      <c r="F2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3" s="2" t="str">
        <f>IF(Table1[[#This Row],[Type]]="Major",Table1[[#This Row],[Major Group]],G222)</f>
        <v>17-0000</v>
      </c>
      <c r="H223" s="2" t="str">
        <f>IF(Table1[[#This Row],[Major Group]]&lt;&gt;"","n/a",IF(Table1[[#This Row],[Minor Group]]&lt;&gt;"",Table1[[#This Row],[Minor Group]],H222))</f>
        <v>17-3000</v>
      </c>
      <c r="I223" s="2" t="str">
        <f>IF(Table1[[#This Row],[Major Group]]&lt;&gt;"","n/a",IF(Table1[[#This Row],[Minor Group]]&lt;&gt;"","n/a",IF(Table1[[#This Row],[Broad Group]]&lt;&gt;"",Table1[[#This Row],[Broad Group]],I222)))</f>
        <v>17-3020</v>
      </c>
      <c r="J2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Occupation]],J222))))</f>
        <v>17-3022</v>
      </c>
      <c r="K223" s="2" t="str">
        <f>Table1[[#This Row],[Group Name]]</f>
        <v>Civil Engineering Technologists and Technicians</v>
      </c>
    </row>
    <row r="224" spans="2:11" ht="25.5" x14ac:dyDescent="0.25">
      <c r="D224" s="5" t="s">
        <v>389</v>
      </c>
      <c r="E224" s="5" t="s">
        <v>390</v>
      </c>
      <c r="F2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4" s="2" t="str">
        <f>IF(Table1[[#This Row],[Type]]="Major",Table1[[#This Row],[Major Group]],G223)</f>
        <v>17-0000</v>
      </c>
      <c r="H224" s="2" t="str">
        <f>IF(Table1[[#This Row],[Major Group]]&lt;&gt;"","n/a",IF(Table1[[#This Row],[Minor Group]]&lt;&gt;"",Table1[[#This Row],[Minor Group]],H223))</f>
        <v>17-3000</v>
      </c>
      <c r="I224" s="2" t="str">
        <f>IF(Table1[[#This Row],[Major Group]]&lt;&gt;"","n/a",IF(Table1[[#This Row],[Minor Group]]&lt;&gt;"","n/a",IF(Table1[[#This Row],[Broad Group]]&lt;&gt;"",Table1[[#This Row],[Broad Group]],I223)))</f>
        <v>17-3020</v>
      </c>
      <c r="J2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Occupation]],J223))))</f>
        <v>17-3023</v>
      </c>
      <c r="K224" s="2" t="str">
        <f>Table1[[#This Row],[Group Name]]</f>
        <v>Electrical and Electronic Engineering Technologists and Technicians</v>
      </c>
    </row>
    <row r="225" spans="1:11" ht="25.5" x14ac:dyDescent="0.25">
      <c r="D225" s="5" t="s">
        <v>391</v>
      </c>
      <c r="E225" s="5" t="s">
        <v>392</v>
      </c>
      <c r="F2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5" s="2" t="str">
        <f>IF(Table1[[#This Row],[Type]]="Major",Table1[[#This Row],[Major Group]],G224)</f>
        <v>17-0000</v>
      </c>
      <c r="H225" s="2" t="str">
        <f>IF(Table1[[#This Row],[Major Group]]&lt;&gt;"","n/a",IF(Table1[[#This Row],[Minor Group]]&lt;&gt;"",Table1[[#This Row],[Minor Group]],H224))</f>
        <v>17-3000</v>
      </c>
      <c r="I225" s="2" t="str">
        <f>IF(Table1[[#This Row],[Major Group]]&lt;&gt;"","n/a",IF(Table1[[#This Row],[Minor Group]]&lt;&gt;"","n/a",IF(Table1[[#This Row],[Broad Group]]&lt;&gt;"",Table1[[#This Row],[Broad Group]],I224)))</f>
        <v>17-3020</v>
      </c>
      <c r="J2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Occupation]],J224))))</f>
        <v>17-3024</v>
      </c>
      <c r="K225" s="2" t="str">
        <f>Table1[[#This Row],[Group Name]]</f>
        <v>Electro-Mechanical and Mechatronics Technologists and Technicians</v>
      </c>
    </row>
    <row r="226" spans="1:11" ht="25.5" x14ac:dyDescent="0.25">
      <c r="D226" s="5" t="s">
        <v>393</v>
      </c>
      <c r="E226" s="5" t="s">
        <v>394</v>
      </c>
      <c r="F2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6" s="2" t="str">
        <f>IF(Table1[[#This Row],[Type]]="Major",Table1[[#This Row],[Major Group]],G225)</f>
        <v>17-0000</v>
      </c>
      <c r="H226" s="2" t="str">
        <f>IF(Table1[[#This Row],[Major Group]]&lt;&gt;"","n/a",IF(Table1[[#This Row],[Minor Group]]&lt;&gt;"",Table1[[#This Row],[Minor Group]],H225))</f>
        <v>17-3000</v>
      </c>
      <c r="I226" s="2" t="str">
        <f>IF(Table1[[#This Row],[Major Group]]&lt;&gt;"","n/a",IF(Table1[[#This Row],[Minor Group]]&lt;&gt;"","n/a",IF(Table1[[#This Row],[Broad Group]]&lt;&gt;"",Table1[[#This Row],[Broad Group]],I225)))</f>
        <v>17-3020</v>
      </c>
      <c r="J2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Occupation]],J225))))</f>
        <v>17-3025</v>
      </c>
      <c r="K226" s="2" t="str">
        <f>Table1[[#This Row],[Group Name]]</f>
        <v>Environmental Engineering Technologists and Technicians</v>
      </c>
    </row>
    <row r="227" spans="1:11" ht="25.5" x14ac:dyDescent="0.25">
      <c r="D227" s="5" t="s">
        <v>395</v>
      </c>
      <c r="E227" s="5" t="s">
        <v>396</v>
      </c>
      <c r="F2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7" s="2" t="str">
        <f>IF(Table1[[#This Row],[Type]]="Major",Table1[[#This Row],[Major Group]],G226)</f>
        <v>17-0000</v>
      </c>
      <c r="H227" s="2" t="str">
        <f>IF(Table1[[#This Row],[Major Group]]&lt;&gt;"","n/a",IF(Table1[[#This Row],[Minor Group]]&lt;&gt;"",Table1[[#This Row],[Minor Group]],H226))</f>
        <v>17-3000</v>
      </c>
      <c r="I227" s="2" t="str">
        <f>IF(Table1[[#This Row],[Major Group]]&lt;&gt;"","n/a",IF(Table1[[#This Row],[Minor Group]]&lt;&gt;"","n/a",IF(Table1[[#This Row],[Broad Group]]&lt;&gt;"",Table1[[#This Row],[Broad Group]],I226)))</f>
        <v>17-3020</v>
      </c>
      <c r="J2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Occupation]],J226))))</f>
        <v>17-3026</v>
      </c>
      <c r="K227" s="2" t="str">
        <f>Table1[[#This Row],[Group Name]]</f>
        <v>Industrial Engineering Technologists and Technicians</v>
      </c>
    </row>
    <row r="228" spans="1:11" ht="25.5" x14ac:dyDescent="0.25">
      <c r="D228" s="5" t="s">
        <v>397</v>
      </c>
      <c r="E228" s="5" t="s">
        <v>398</v>
      </c>
      <c r="F2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8" s="2" t="str">
        <f>IF(Table1[[#This Row],[Type]]="Major",Table1[[#This Row],[Major Group]],G227)</f>
        <v>17-0000</v>
      </c>
      <c r="H228" s="2" t="str">
        <f>IF(Table1[[#This Row],[Major Group]]&lt;&gt;"","n/a",IF(Table1[[#This Row],[Minor Group]]&lt;&gt;"",Table1[[#This Row],[Minor Group]],H227))</f>
        <v>17-3000</v>
      </c>
      <c r="I228" s="2" t="str">
        <f>IF(Table1[[#This Row],[Major Group]]&lt;&gt;"","n/a",IF(Table1[[#This Row],[Minor Group]]&lt;&gt;"","n/a",IF(Table1[[#This Row],[Broad Group]]&lt;&gt;"",Table1[[#This Row],[Broad Group]],I227)))</f>
        <v>17-3020</v>
      </c>
      <c r="J2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Occupation]],J227))))</f>
        <v>17-3027</v>
      </c>
      <c r="K228" s="2" t="str">
        <f>Table1[[#This Row],[Group Name]]</f>
        <v>Mechanical Engineering Technologists and Technicians</v>
      </c>
    </row>
    <row r="229" spans="1:11" ht="25.5" x14ac:dyDescent="0.25">
      <c r="D229" s="5" t="s">
        <v>399</v>
      </c>
      <c r="E229" s="5" t="s">
        <v>400</v>
      </c>
      <c r="F2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29" s="2" t="str">
        <f>IF(Table1[[#This Row],[Type]]="Major",Table1[[#This Row],[Major Group]],G228)</f>
        <v>17-0000</v>
      </c>
      <c r="H229" s="2" t="str">
        <f>IF(Table1[[#This Row],[Major Group]]&lt;&gt;"","n/a",IF(Table1[[#This Row],[Minor Group]]&lt;&gt;"",Table1[[#This Row],[Minor Group]],H228))</f>
        <v>17-3000</v>
      </c>
      <c r="I229" s="2" t="str">
        <f>IF(Table1[[#This Row],[Major Group]]&lt;&gt;"","n/a",IF(Table1[[#This Row],[Minor Group]]&lt;&gt;"","n/a",IF(Table1[[#This Row],[Broad Group]]&lt;&gt;"",Table1[[#This Row],[Broad Group]],I228)))</f>
        <v>17-3020</v>
      </c>
      <c r="J2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Occupation]],J228))))</f>
        <v>17-3028</v>
      </c>
      <c r="K229" s="2" t="str">
        <f>Table1[[#This Row],[Group Name]]</f>
        <v>Calibration Technologists and Technicians</v>
      </c>
    </row>
    <row r="230" spans="1:11" ht="25.5" x14ac:dyDescent="0.25">
      <c r="D230" s="5" t="s">
        <v>401</v>
      </c>
      <c r="E230" s="5" t="s">
        <v>402</v>
      </c>
      <c r="F2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30" s="2" t="str">
        <f>IF(Table1[[#This Row],[Type]]="Major",Table1[[#This Row],[Major Group]],G229)</f>
        <v>17-0000</v>
      </c>
      <c r="H230" s="2" t="str">
        <f>IF(Table1[[#This Row],[Major Group]]&lt;&gt;"","n/a",IF(Table1[[#This Row],[Minor Group]]&lt;&gt;"",Table1[[#This Row],[Minor Group]],H229))</f>
        <v>17-3000</v>
      </c>
      <c r="I230" s="2" t="str">
        <f>IF(Table1[[#This Row],[Major Group]]&lt;&gt;"","n/a",IF(Table1[[#This Row],[Minor Group]]&lt;&gt;"","n/a",IF(Table1[[#This Row],[Broad Group]]&lt;&gt;"",Table1[[#This Row],[Broad Group]],I229)))</f>
        <v>17-3020</v>
      </c>
      <c r="J2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Occupation]],J229))))</f>
        <v>17-3029</v>
      </c>
      <c r="K230" s="2" t="str">
        <f>Table1[[#This Row],[Group Name]]</f>
        <v>Engineering Technologists and Technicians, Except Drafters, All Other</v>
      </c>
    </row>
    <row r="231" spans="1:11" ht="30" x14ac:dyDescent="0.25">
      <c r="C231" s="1" t="s">
        <v>403</v>
      </c>
      <c r="E231" s="1" t="s">
        <v>404</v>
      </c>
      <c r="F2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31" s="2" t="str">
        <f>IF(Table1[[#This Row],[Type]]="Major",Table1[[#This Row],[Major Group]],G230)</f>
        <v>17-0000</v>
      </c>
      <c r="H231" s="2" t="str">
        <f>IF(Table1[[#This Row],[Major Group]]&lt;&gt;"","n/a",IF(Table1[[#This Row],[Minor Group]]&lt;&gt;"",Table1[[#This Row],[Minor Group]],H230))</f>
        <v>17-3000</v>
      </c>
      <c r="I231" s="2" t="str">
        <f>IF(Table1[[#This Row],[Major Group]]&lt;&gt;"","n/a",IF(Table1[[#This Row],[Minor Group]]&lt;&gt;"","n/a",IF(Table1[[#This Row],[Broad Group]]&lt;&gt;"",Table1[[#This Row],[Broad Group]],I230)))</f>
        <v>17-3030</v>
      </c>
      <c r="J2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Occupation]],J230))))</f>
        <v>n/a</v>
      </c>
      <c r="K231" s="2" t="str">
        <f>Table1[[#This Row],[Group Name]]</f>
        <v>Surveying and Mapping Technicians</v>
      </c>
    </row>
    <row r="232" spans="1:11" x14ac:dyDescent="0.25">
      <c r="D232" s="5" t="s">
        <v>405</v>
      </c>
      <c r="E232" s="5" t="s">
        <v>404</v>
      </c>
      <c r="F2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32" s="2" t="str">
        <f>IF(Table1[[#This Row],[Type]]="Major",Table1[[#This Row],[Major Group]],G231)</f>
        <v>17-0000</v>
      </c>
      <c r="H232" s="2" t="str">
        <f>IF(Table1[[#This Row],[Major Group]]&lt;&gt;"","n/a",IF(Table1[[#This Row],[Minor Group]]&lt;&gt;"",Table1[[#This Row],[Minor Group]],H231))</f>
        <v>17-3000</v>
      </c>
      <c r="I232" s="2" t="str">
        <f>IF(Table1[[#This Row],[Major Group]]&lt;&gt;"","n/a",IF(Table1[[#This Row],[Minor Group]]&lt;&gt;"","n/a",IF(Table1[[#This Row],[Broad Group]]&lt;&gt;"",Table1[[#This Row],[Broad Group]],I231)))</f>
        <v>17-3030</v>
      </c>
      <c r="J2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Occupation]],J231))))</f>
        <v>17-3031</v>
      </c>
      <c r="K232" s="2" t="str">
        <f>Table1[[#This Row],[Group Name]]</f>
        <v>Surveying and Mapping Technicians</v>
      </c>
    </row>
    <row r="233" spans="1:11" ht="15.75" x14ac:dyDescent="0.25">
      <c r="A233" s="4" t="s">
        <v>406</v>
      </c>
      <c r="E233" s="4" t="s">
        <v>407</v>
      </c>
      <c r="F2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233" s="2" t="str">
        <f>IF(Table1[[#This Row],[Type]]="Major",Table1[[#This Row],[Major Group]],G232)</f>
        <v>19-0000</v>
      </c>
      <c r="H233" s="2" t="str">
        <f>IF(Table1[[#This Row],[Major Group]]&lt;&gt;"","n/a",IF(Table1[[#This Row],[Minor Group]]&lt;&gt;"",Table1[[#This Row],[Minor Group]],H232))</f>
        <v>n/a</v>
      </c>
      <c r="I233" s="2" t="str">
        <f>IF(Table1[[#This Row],[Major Group]]&lt;&gt;"","n/a",IF(Table1[[#This Row],[Minor Group]]&lt;&gt;"","n/a",IF(Table1[[#This Row],[Broad Group]]&lt;&gt;"",Table1[[#This Row],[Broad Group]],I232)))</f>
        <v>n/a</v>
      </c>
      <c r="J2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Occupation]],J232))))</f>
        <v>n/a</v>
      </c>
      <c r="K233" s="2" t="str">
        <f>Table1[[#This Row],[Group Name]]</f>
        <v>Life, Physical, and Social Science Occupations</v>
      </c>
    </row>
    <row r="234" spans="1:11" x14ac:dyDescent="0.25">
      <c r="B234" s="3" t="s">
        <v>408</v>
      </c>
      <c r="E234" s="3" t="s">
        <v>409</v>
      </c>
      <c r="F2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234" s="2" t="str">
        <f>IF(Table1[[#This Row],[Type]]="Major",Table1[[#This Row],[Major Group]],G233)</f>
        <v>19-0000</v>
      </c>
      <c r="H234" s="2" t="str">
        <f>IF(Table1[[#This Row],[Major Group]]&lt;&gt;"","n/a",IF(Table1[[#This Row],[Minor Group]]&lt;&gt;"",Table1[[#This Row],[Minor Group]],H233))</f>
        <v>19-1000</v>
      </c>
      <c r="I234" s="2" t="str">
        <f>IF(Table1[[#This Row],[Major Group]]&lt;&gt;"","n/a",IF(Table1[[#This Row],[Minor Group]]&lt;&gt;"","n/a",IF(Table1[[#This Row],[Broad Group]]&lt;&gt;"",Table1[[#This Row],[Broad Group]],I233)))</f>
        <v>n/a</v>
      </c>
      <c r="J2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Occupation]],J233))))</f>
        <v>n/a</v>
      </c>
      <c r="K234" s="2" t="str">
        <f>Table1[[#This Row],[Group Name]]</f>
        <v>Life Scientists</v>
      </c>
    </row>
    <row r="235" spans="1:11" x14ac:dyDescent="0.25">
      <c r="C235" s="1" t="s">
        <v>410</v>
      </c>
      <c r="E235" s="1" t="s">
        <v>411</v>
      </c>
      <c r="F2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35" s="2" t="str">
        <f>IF(Table1[[#This Row],[Type]]="Major",Table1[[#This Row],[Major Group]],G234)</f>
        <v>19-0000</v>
      </c>
      <c r="H235" s="2" t="str">
        <f>IF(Table1[[#This Row],[Major Group]]&lt;&gt;"","n/a",IF(Table1[[#This Row],[Minor Group]]&lt;&gt;"",Table1[[#This Row],[Minor Group]],H234))</f>
        <v>19-1000</v>
      </c>
      <c r="I235" s="2" t="str">
        <f>IF(Table1[[#This Row],[Major Group]]&lt;&gt;"","n/a",IF(Table1[[#This Row],[Minor Group]]&lt;&gt;"","n/a",IF(Table1[[#This Row],[Broad Group]]&lt;&gt;"",Table1[[#This Row],[Broad Group]],I234)))</f>
        <v>19-1010</v>
      </c>
      <c r="J2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Occupation]],J234))))</f>
        <v>n/a</v>
      </c>
      <c r="K235" s="2" t="str">
        <f>Table1[[#This Row],[Group Name]]</f>
        <v>Agricultural and Food Scientists</v>
      </c>
    </row>
    <row r="236" spans="1:11" x14ac:dyDescent="0.25">
      <c r="D236" s="5" t="s">
        <v>412</v>
      </c>
      <c r="E236" s="5" t="s">
        <v>413</v>
      </c>
      <c r="F2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36" s="2" t="str">
        <f>IF(Table1[[#This Row],[Type]]="Major",Table1[[#This Row],[Major Group]],G235)</f>
        <v>19-0000</v>
      </c>
      <c r="H236" s="2" t="str">
        <f>IF(Table1[[#This Row],[Major Group]]&lt;&gt;"","n/a",IF(Table1[[#This Row],[Minor Group]]&lt;&gt;"",Table1[[#This Row],[Minor Group]],H235))</f>
        <v>19-1000</v>
      </c>
      <c r="I236" s="2" t="str">
        <f>IF(Table1[[#This Row],[Major Group]]&lt;&gt;"","n/a",IF(Table1[[#This Row],[Minor Group]]&lt;&gt;"","n/a",IF(Table1[[#This Row],[Broad Group]]&lt;&gt;"",Table1[[#This Row],[Broad Group]],I235)))</f>
        <v>19-1010</v>
      </c>
      <c r="J2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Occupation]],J235))))</f>
        <v>19-1011</v>
      </c>
      <c r="K236" s="2" t="str">
        <f>Table1[[#This Row],[Group Name]]</f>
        <v>Animal Scientists</v>
      </c>
    </row>
    <row r="237" spans="1:11" x14ac:dyDescent="0.25">
      <c r="D237" s="5" t="s">
        <v>414</v>
      </c>
      <c r="E237" s="5" t="s">
        <v>415</v>
      </c>
      <c r="F2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37" s="2" t="str">
        <f>IF(Table1[[#This Row],[Type]]="Major",Table1[[#This Row],[Major Group]],G236)</f>
        <v>19-0000</v>
      </c>
      <c r="H237" s="2" t="str">
        <f>IF(Table1[[#This Row],[Major Group]]&lt;&gt;"","n/a",IF(Table1[[#This Row],[Minor Group]]&lt;&gt;"",Table1[[#This Row],[Minor Group]],H236))</f>
        <v>19-1000</v>
      </c>
      <c r="I237" s="2" t="str">
        <f>IF(Table1[[#This Row],[Major Group]]&lt;&gt;"","n/a",IF(Table1[[#This Row],[Minor Group]]&lt;&gt;"","n/a",IF(Table1[[#This Row],[Broad Group]]&lt;&gt;"",Table1[[#This Row],[Broad Group]],I236)))</f>
        <v>19-1010</v>
      </c>
      <c r="J2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Occupation]],J236))))</f>
        <v>19-1012</v>
      </c>
      <c r="K237" s="2" t="str">
        <f>Table1[[#This Row],[Group Name]]</f>
        <v>Food Scientists and Technologists</v>
      </c>
    </row>
    <row r="238" spans="1:11" x14ac:dyDescent="0.25">
      <c r="D238" s="5" t="s">
        <v>416</v>
      </c>
      <c r="E238" s="5" t="s">
        <v>417</v>
      </c>
      <c r="F2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38" s="2" t="str">
        <f>IF(Table1[[#This Row],[Type]]="Major",Table1[[#This Row],[Major Group]],G237)</f>
        <v>19-0000</v>
      </c>
      <c r="H238" s="2" t="str">
        <f>IF(Table1[[#This Row],[Major Group]]&lt;&gt;"","n/a",IF(Table1[[#This Row],[Minor Group]]&lt;&gt;"",Table1[[#This Row],[Minor Group]],H237))</f>
        <v>19-1000</v>
      </c>
      <c r="I238" s="2" t="str">
        <f>IF(Table1[[#This Row],[Major Group]]&lt;&gt;"","n/a",IF(Table1[[#This Row],[Minor Group]]&lt;&gt;"","n/a",IF(Table1[[#This Row],[Broad Group]]&lt;&gt;"",Table1[[#This Row],[Broad Group]],I237)))</f>
        <v>19-1010</v>
      </c>
      <c r="J2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Occupation]],J237))))</f>
        <v>19-1013</v>
      </c>
      <c r="K238" s="2" t="str">
        <f>Table1[[#This Row],[Group Name]]</f>
        <v>Soil and Plant Scientists</v>
      </c>
    </row>
    <row r="239" spans="1:11" x14ac:dyDescent="0.25">
      <c r="C239" s="1" t="s">
        <v>418</v>
      </c>
      <c r="E239" s="1" t="s">
        <v>419</v>
      </c>
      <c r="F2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39" s="2" t="str">
        <f>IF(Table1[[#This Row],[Type]]="Major",Table1[[#This Row],[Major Group]],G238)</f>
        <v>19-0000</v>
      </c>
      <c r="H239" s="2" t="str">
        <f>IF(Table1[[#This Row],[Major Group]]&lt;&gt;"","n/a",IF(Table1[[#This Row],[Minor Group]]&lt;&gt;"",Table1[[#This Row],[Minor Group]],H238))</f>
        <v>19-1000</v>
      </c>
      <c r="I239" s="2" t="str">
        <f>IF(Table1[[#This Row],[Major Group]]&lt;&gt;"","n/a",IF(Table1[[#This Row],[Minor Group]]&lt;&gt;"","n/a",IF(Table1[[#This Row],[Broad Group]]&lt;&gt;"",Table1[[#This Row],[Broad Group]],I238)))</f>
        <v>19-1020</v>
      </c>
      <c r="J2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Occupation]],J238))))</f>
        <v>n/a</v>
      </c>
      <c r="K239" s="2" t="str">
        <f>Table1[[#This Row],[Group Name]]</f>
        <v>Biological Scientists</v>
      </c>
    </row>
    <row r="240" spans="1:11" x14ac:dyDescent="0.25">
      <c r="D240" s="5" t="s">
        <v>420</v>
      </c>
      <c r="E240" s="5" t="s">
        <v>421</v>
      </c>
      <c r="F2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0" s="2" t="str">
        <f>IF(Table1[[#This Row],[Type]]="Major",Table1[[#This Row],[Major Group]],G239)</f>
        <v>19-0000</v>
      </c>
      <c r="H240" s="2" t="str">
        <f>IF(Table1[[#This Row],[Major Group]]&lt;&gt;"","n/a",IF(Table1[[#This Row],[Minor Group]]&lt;&gt;"",Table1[[#This Row],[Minor Group]],H239))</f>
        <v>19-1000</v>
      </c>
      <c r="I240" s="2" t="str">
        <f>IF(Table1[[#This Row],[Major Group]]&lt;&gt;"","n/a",IF(Table1[[#This Row],[Minor Group]]&lt;&gt;"","n/a",IF(Table1[[#This Row],[Broad Group]]&lt;&gt;"",Table1[[#This Row],[Broad Group]],I239)))</f>
        <v>19-1020</v>
      </c>
      <c r="J2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Occupation]],J239))))</f>
        <v>19-1021</v>
      </c>
      <c r="K240" s="2" t="str">
        <f>Table1[[#This Row],[Group Name]]</f>
        <v>Biochemists and Biophysicists</v>
      </c>
    </row>
    <row r="241" spans="2:11" x14ac:dyDescent="0.25">
      <c r="D241" s="5" t="s">
        <v>422</v>
      </c>
      <c r="E241" s="5" t="s">
        <v>423</v>
      </c>
      <c r="F2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1" s="2" t="str">
        <f>IF(Table1[[#This Row],[Type]]="Major",Table1[[#This Row],[Major Group]],G240)</f>
        <v>19-0000</v>
      </c>
      <c r="H241" s="2" t="str">
        <f>IF(Table1[[#This Row],[Major Group]]&lt;&gt;"","n/a",IF(Table1[[#This Row],[Minor Group]]&lt;&gt;"",Table1[[#This Row],[Minor Group]],H240))</f>
        <v>19-1000</v>
      </c>
      <c r="I241" s="2" t="str">
        <f>IF(Table1[[#This Row],[Major Group]]&lt;&gt;"","n/a",IF(Table1[[#This Row],[Minor Group]]&lt;&gt;"","n/a",IF(Table1[[#This Row],[Broad Group]]&lt;&gt;"",Table1[[#This Row],[Broad Group]],I240)))</f>
        <v>19-1020</v>
      </c>
      <c r="J2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Occupation]],J240))))</f>
        <v>19-1022</v>
      </c>
      <c r="K241" s="2" t="str">
        <f>Table1[[#This Row],[Group Name]]</f>
        <v>Microbiologists</v>
      </c>
    </row>
    <row r="242" spans="2:11" x14ac:dyDescent="0.25">
      <c r="D242" s="5" t="s">
        <v>424</v>
      </c>
      <c r="E242" s="5" t="s">
        <v>425</v>
      </c>
      <c r="F2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2" s="2" t="str">
        <f>IF(Table1[[#This Row],[Type]]="Major",Table1[[#This Row],[Major Group]],G241)</f>
        <v>19-0000</v>
      </c>
      <c r="H242" s="2" t="str">
        <f>IF(Table1[[#This Row],[Major Group]]&lt;&gt;"","n/a",IF(Table1[[#This Row],[Minor Group]]&lt;&gt;"",Table1[[#This Row],[Minor Group]],H241))</f>
        <v>19-1000</v>
      </c>
      <c r="I242" s="2" t="str">
        <f>IF(Table1[[#This Row],[Major Group]]&lt;&gt;"","n/a",IF(Table1[[#This Row],[Minor Group]]&lt;&gt;"","n/a",IF(Table1[[#This Row],[Broad Group]]&lt;&gt;"",Table1[[#This Row],[Broad Group]],I241)))</f>
        <v>19-1020</v>
      </c>
      <c r="J2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Occupation]],J241))))</f>
        <v>19-1023</v>
      </c>
      <c r="K242" s="2" t="str">
        <f>Table1[[#This Row],[Group Name]]</f>
        <v>Zoologists and Wildlife Biologists</v>
      </c>
    </row>
    <row r="243" spans="2:11" x14ac:dyDescent="0.25">
      <c r="D243" s="5" t="s">
        <v>426</v>
      </c>
      <c r="E243" s="5" t="s">
        <v>427</v>
      </c>
      <c r="F2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3" s="2" t="str">
        <f>IF(Table1[[#This Row],[Type]]="Major",Table1[[#This Row],[Major Group]],G242)</f>
        <v>19-0000</v>
      </c>
      <c r="H243" s="2" t="str">
        <f>IF(Table1[[#This Row],[Major Group]]&lt;&gt;"","n/a",IF(Table1[[#This Row],[Minor Group]]&lt;&gt;"",Table1[[#This Row],[Minor Group]],H242))</f>
        <v>19-1000</v>
      </c>
      <c r="I243" s="2" t="str">
        <f>IF(Table1[[#This Row],[Major Group]]&lt;&gt;"","n/a",IF(Table1[[#This Row],[Minor Group]]&lt;&gt;"","n/a",IF(Table1[[#This Row],[Broad Group]]&lt;&gt;"",Table1[[#This Row],[Broad Group]],I242)))</f>
        <v>19-1020</v>
      </c>
      <c r="J2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Occupation]],J242))))</f>
        <v>19-1029</v>
      </c>
      <c r="K243" s="2" t="str">
        <f>Table1[[#This Row],[Group Name]]</f>
        <v>Biological Scientists, All Other</v>
      </c>
    </row>
    <row r="244" spans="2:11" ht="30" x14ac:dyDescent="0.25">
      <c r="C244" s="1" t="s">
        <v>428</v>
      </c>
      <c r="E244" s="1" t="s">
        <v>429</v>
      </c>
      <c r="F2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44" s="2" t="str">
        <f>IF(Table1[[#This Row],[Type]]="Major",Table1[[#This Row],[Major Group]],G243)</f>
        <v>19-0000</v>
      </c>
      <c r="H244" s="2" t="str">
        <f>IF(Table1[[#This Row],[Major Group]]&lt;&gt;"","n/a",IF(Table1[[#This Row],[Minor Group]]&lt;&gt;"",Table1[[#This Row],[Minor Group]],H243))</f>
        <v>19-1000</v>
      </c>
      <c r="I244" s="2" t="str">
        <f>IF(Table1[[#This Row],[Major Group]]&lt;&gt;"","n/a",IF(Table1[[#This Row],[Minor Group]]&lt;&gt;"","n/a",IF(Table1[[#This Row],[Broad Group]]&lt;&gt;"",Table1[[#This Row],[Broad Group]],I243)))</f>
        <v>19-1030</v>
      </c>
      <c r="J2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Occupation]],J243))))</f>
        <v>n/a</v>
      </c>
      <c r="K244" s="2" t="str">
        <f>Table1[[#This Row],[Group Name]]</f>
        <v>Conservation Scientists and Foresters</v>
      </c>
    </row>
    <row r="245" spans="2:11" x14ac:dyDescent="0.25">
      <c r="D245" s="5" t="s">
        <v>430</v>
      </c>
      <c r="E245" s="5" t="s">
        <v>431</v>
      </c>
      <c r="F2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5" s="2" t="str">
        <f>IF(Table1[[#This Row],[Type]]="Major",Table1[[#This Row],[Major Group]],G244)</f>
        <v>19-0000</v>
      </c>
      <c r="H245" s="2" t="str">
        <f>IF(Table1[[#This Row],[Major Group]]&lt;&gt;"","n/a",IF(Table1[[#This Row],[Minor Group]]&lt;&gt;"",Table1[[#This Row],[Minor Group]],H244))</f>
        <v>19-1000</v>
      </c>
      <c r="I245" s="2" t="str">
        <f>IF(Table1[[#This Row],[Major Group]]&lt;&gt;"","n/a",IF(Table1[[#This Row],[Minor Group]]&lt;&gt;"","n/a",IF(Table1[[#This Row],[Broad Group]]&lt;&gt;"",Table1[[#This Row],[Broad Group]],I244)))</f>
        <v>19-1030</v>
      </c>
      <c r="J2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Occupation]],J244))))</f>
        <v>19-1031</v>
      </c>
      <c r="K245" s="2" t="str">
        <f>Table1[[#This Row],[Group Name]]</f>
        <v>Conservation Scientists</v>
      </c>
    </row>
    <row r="246" spans="2:11" x14ac:dyDescent="0.25">
      <c r="D246" s="5" t="s">
        <v>432</v>
      </c>
      <c r="E246" s="5" t="s">
        <v>433</v>
      </c>
      <c r="F2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6" s="2" t="str">
        <f>IF(Table1[[#This Row],[Type]]="Major",Table1[[#This Row],[Major Group]],G245)</f>
        <v>19-0000</v>
      </c>
      <c r="H246" s="2" t="str">
        <f>IF(Table1[[#This Row],[Major Group]]&lt;&gt;"","n/a",IF(Table1[[#This Row],[Minor Group]]&lt;&gt;"",Table1[[#This Row],[Minor Group]],H245))</f>
        <v>19-1000</v>
      </c>
      <c r="I246" s="2" t="str">
        <f>IF(Table1[[#This Row],[Major Group]]&lt;&gt;"","n/a",IF(Table1[[#This Row],[Minor Group]]&lt;&gt;"","n/a",IF(Table1[[#This Row],[Broad Group]]&lt;&gt;"",Table1[[#This Row],[Broad Group]],I245)))</f>
        <v>19-1030</v>
      </c>
      <c r="J2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Occupation]],J245))))</f>
        <v>19-1032</v>
      </c>
      <c r="K246" s="2" t="str">
        <f>Table1[[#This Row],[Group Name]]</f>
        <v>Foresters</v>
      </c>
    </row>
    <row r="247" spans="2:11" x14ac:dyDescent="0.25">
      <c r="C247" s="1" t="s">
        <v>434</v>
      </c>
      <c r="E247" s="1" t="s">
        <v>435</v>
      </c>
      <c r="F2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47" s="2" t="str">
        <f>IF(Table1[[#This Row],[Type]]="Major",Table1[[#This Row],[Major Group]],G246)</f>
        <v>19-0000</v>
      </c>
      <c r="H247" s="2" t="str">
        <f>IF(Table1[[#This Row],[Major Group]]&lt;&gt;"","n/a",IF(Table1[[#This Row],[Minor Group]]&lt;&gt;"",Table1[[#This Row],[Minor Group]],H246))</f>
        <v>19-1000</v>
      </c>
      <c r="I247" s="2" t="str">
        <f>IF(Table1[[#This Row],[Major Group]]&lt;&gt;"","n/a",IF(Table1[[#This Row],[Minor Group]]&lt;&gt;"","n/a",IF(Table1[[#This Row],[Broad Group]]&lt;&gt;"",Table1[[#This Row],[Broad Group]],I246)))</f>
        <v>19-1040</v>
      </c>
      <c r="J2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Occupation]],J246))))</f>
        <v>n/a</v>
      </c>
      <c r="K247" s="2" t="str">
        <f>Table1[[#This Row],[Group Name]]</f>
        <v>Medical Scientists</v>
      </c>
    </row>
    <row r="248" spans="2:11" x14ac:dyDescent="0.25">
      <c r="D248" s="5" t="s">
        <v>436</v>
      </c>
      <c r="E248" s="5" t="s">
        <v>437</v>
      </c>
      <c r="F2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8" s="2" t="str">
        <f>IF(Table1[[#This Row],[Type]]="Major",Table1[[#This Row],[Major Group]],G247)</f>
        <v>19-0000</v>
      </c>
      <c r="H248" s="2" t="str">
        <f>IF(Table1[[#This Row],[Major Group]]&lt;&gt;"","n/a",IF(Table1[[#This Row],[Minor Group]]&lt;&gt;"",Table1[[#This Row],[Minor Group]],H247))</f>
        <v>19-1000</v>
      </c>
      <c r="I248" s="2" t="str">
        <f>IF(Table1[[#This Row],[Major Group]]&lt;&gt;"","n/a",IF(Table1[[#This Row],[Minor Group]]&lt;&gt;"","n/a",IF(Table1[[#This Row],[Broad Group]]&lt;&gt;"",Table1[[#This Row],[Broad Group]],I247)))</f>
        <v>19-1040</v>
      </c>
      <c r="J2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Occupation]],J247))))</f>
        <v>19-1041</v>
      </c>
      <c r="K248" s="2" t="str">
        <f>Table1[[#This Row],[Group Name]]</f>
        <v>Epidemiologists</v>
      </c>
    </row>
    <row r="249" spans="2:11" ht="25.5" x14ac:dyDescent="0.25">
      <c r="D249" s="5" t="s">
        <v>438</v>
      </c>
      <c r="E249" s="5" t="s">
        <v>439</v>
      </c>
      <c r="F2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49" s="2" t="str">
        <f>IF(Table1[[#This Row],[Type]]="Major",Table1[[#This Row],[Major Group]],G248)</f>
        <v>19-0000</v>
      </c>
      <c r="H249" s="2" t="str">
        <f>IF(Table1[[#This Row],[Major Group]]&lt;&gt;"","n/a",IF(Table1[[#This Row],[Minor Group]]&lt;&gt;"",Table1[[#This Row],[Minor Group]],H248))</f>
        <v>19-1000</v>
      </c>
      <c r="I249" s="2" t="str">
        <f>IF(Table1[[#This Row],[Major Group]]&lt;&gt;"","n/a",IF(Table1[[#This Row],[Minor Group]]&lt;&gt;"","n/a",IF(Table1[[#This Row],[Broad Group]]&lt;&gt;"",Table1[[#This Row],[Broad Group]],I248)))</f>
        <v>19-1040</v>
      </c>
      <c r="J2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Occupation]],J248))))</f>
        <v>19-1042</v>
      </c>
      <c r="K249" s="2" t="str">
        <f>Table1[[#This Row],[Group Name]]</f>
        <v>Medical Scientists, Except Epidemiologists</v>
      </c>
    </row>
    <row r="250" spans="2:11" x14ac:dyDescent="0.25">
      <c r="C250" s="1" t="s">
        <v>440</v>
      </c>
      <c r="E250" s="1" t="s">
        <v>441</v>
      </c>
      <c r="F2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50" s="2" t="str">
        <f>IF(Table1[[#This Row],[Type]]="Major",Table1[[#This Row],[Major Group]],G249)</f>
        <v>19-0000</v>
      </c>
      <c r="H250" s="2" t="str">
        <f>IF(Table1[[#This Row],[Major Group]]&lt;&gt;"","n/a",IF(Table1[[#This Row],[Minor Group]]&lt;&gt;"",Table1[[#This Row],[Minor Group]],H249))</f>
        <v>19-1000</v>
      </c>
      <c r="I250" s="2" t="str">
        <f>IF(Table1[[#This Row],[Major Group]]&lt;&gt;"","n/a",IF(Table1[[#This Row],[Minor Group]]&lt;&gt;"","n/a",IF(Table1[[#This Row],[Broad Group]]&lt;&gt;"",Table1[[#This Row],[Broad Group]],I249)))</f>
        <v>19-1090</v>
      </c>
      <c r="J2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Occupation]],J249))))</f>
        <v>n/a</v>
      </c>
      <c r="K250" s="2" t="str">
        <f>Table1[[#This Row],[Group Name]]</f>
        <v>Miscellaneous Life Scientists</v>
      </c>
    </row>
    <row r="251" spans="2:11" x14ac:dyDescent="0.25">
      <c r="D251" s="5" t="s">
        <v>442</v>
      </c>
      <c r="E251" s="5" t="s">
        <v>443</v>
      </c>
      <c r="F2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51" s="2" t="str">
        <f>IF(Table1[[#This Row],[Type]]="Major",Table1[[#This Row],[Major Group]],G250)</f>
        <v>19-0000</v>
      </c>
      <c r="H251" s="2" t="str">
        <f>IF(Table1[[#This Row],[Major Group]]&lt;&gt;"","n/a",IF(Table1[[#This Row],[Minor Group]]&lt;&gt;"",Table1[[#This Row],[Minor Group]],H250))</f>
        <v>19-1000</v>
      </c>
      <c r="I251" s="2" t="str">
        <f>IF(Table1[[#This Row],[Major Group]]&lt;&gt;"","n/a",IF(Table1[[#This Row],[Minor Group]]&lt;&gt;"","n/a",IF(Table1[[#This Row],[Broad Group]]&lt;&gt;"",Table1[[#This Row],[Broad Group]],I250)))</f>
        <v>19-1090</v>
      </c>
      <c r="J2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Occupation]],J250))))</f>
        <v>19-1099</v>
      </c>
      <c r="K251" s="2" t="str">
        <f>Table1[[#This Row],[Group Name]]</f>
        <v>Life Scientists, All Other</v>
      </c>
    </row>
    <row r="252" spans="2:11" x14ac:dyDescent="0.25">
      <c r="B252" s="3" t="s">
        <v>444</v>
      </c>
      <c r="E252" s="3" t="s">
        <v>445</v>
      </c>
      <c r="F2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252" s="2" t="str">
        <f>IF(Table1[[#This Row],[Type]]="Major",Table1[[#This Row],[Major Group]],G251)</f>
        <v>19-0000</v>
      </c>
      <c r="H252" s="2" t="str">
        <f>IF(Table1[[#This Row],[Major Group]]&lt;&gt;"","n/a",IF(Table1[[#This Row],[Minor Group]]&lt;&gt;"",Table1[[#This Row],[Minor Group]],H251))</f>
        <v>19-2000</v>
      </c>
      <c r="I252" s="2" t="str">
        <f>IF(Table1[[#This Row],[Major Group]]&lt;&gt;"","n/a",IF(Table1[[#This Row],[Minor Group]]&lt;&gt;"","n/a",IF(Table1[[#This Row],[Broad Group]]&lt;&gt;"",Table1[[#This Row],[Broad Group]],I251)))</f>
        <v>n/a</v>
      </c>
      <c r="J2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Occupation]],J251))))</f>
        <v>n/a</v>
      </c>
      <c r="K252" s="2" t="str">
        <f>Table1[[#This Row],[Group Name]]</f>
        <v>Physical Scientists</v>
      </c>
    </row>
    <row r="253" spans="2:11" x14ac:dyDescent="0.25">
      <c r="C253" s="1" t="s">
        <v>446</v>
      </c>
      <c r="E253" s="1" t="s">
        <v>447</v>
      </c>
      <c r="F2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53" s="2" t="str">
        <f>IF(Table1[[#This Row],[Type]]="Major",Table1[[#This Row],[Major Group]],G252)</f>
        <v>19-0000</v>
      </c>
      <c r="H253" s="2" t="str">
        <f>IF(Table1[[#This Row],[Major Group]]&lt;&gt;"","n/a",IF(Table1[[#This Row],[Minor Group]]&lt;&gt;"",Table1[[#This Row],[Minor Group]],H252))</f>
        <v>19-2000</v>
      </c>
      <c r="I253" s="2" t="str">
        <f>IF(Table1[[#This Row],[Major Group]]&lt;&gt;"","n/a",IF(Table1[[#This Row],[Minor Group]]&lt;&gt;"","n/a",IF(Table1[[#This Row],[Broad Group]]&lt;&gt;"",Table1[[#This Row],[Broad Group]],I252)))</f>
        <v>19-2010</v>
      </c>
      <c r="J2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Occupation]],J252))))</f>
        <v>n/a</v>
      </c>
      <c r="K253" s="2" t="str">
        <f>Table1[[#This Row],[Group Name]]</f>
        <v>Astronomers and Physicists</v>
      </c>
    </row>
    <row r="254" spans="2:11" x14ac:dyDescent="0.25">
      <c r="D254" s="5" t="s">
        <v>448</v>
      </c>
      <c r="E254" s="5" t="s">
        <v>449</v>
      </c>
      <c r="F2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54" s="2" t="str">
        <f>IF(Table1[[#This Row],[Type]]="Major",Table1[[#This Row],[Major Group]],G253)</f>
        <v>19-0000</v>
      </c>
      <c r="H254" s="2" t="str">
        <f>IF(Table1[[#This Row],[Major Group]]&lt;&gt;"","n/a",IF(Table1[[#This Row],[Minor Group]]&lt;&gt;"",Table1[[#This Row],[Minor Group]],H253))</f>
        <v>19-2000</v>
      </c>
      <c r="I254" s="2" t="str">
        <f>IF(Table1[[#This Row],[Major Group]]&lt;&gt;"","n/a",IF(Table1[[#This Row],[Minor Group]]&lt;&gt;"","n/a",IF(Table1[[#This Row],[Broad Group]]&lt;&gt;"",Table1[[#This Row],[Broad Group]],I253)))</f>
        <v>19-2010</v>
      </c>
      <c r="J2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Occupation]],J253))))</f>
        <v>19-2011</v>
      </c>
      <c r="K254" s="2" t="str">
        <f>Table1[[#This Row],[Group Name]]</f>
        <v>Astronomers</v>
      </c>
    </row>
    <row r="255" spans="2:11" x14ac:dyDescent="0.25">
      <c r="D255" s="5" t="s">
        <v>450</v>
      </c>
      <c r="E255" s="5" t="s">
        <v>451</v>
      </c>
      <c r="F2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55" s="2" t="str">
        <f>IF(Table1[[#This Row],[Type]]="Major",Table1[[#This Row],[Major Group]],G254)</f>
        <v>19-0000</v>
      </c>
      <c r="H255" s="2" t="str">
        <f>IF(Table1[[#This Row],[Major Group]]&lt;&gt;"","n/a",IF(Table1[[#This Row],[Minor Group]]&lt;&gt;"",Table1[[#This Row],[Minor Group]],H254))</f>
        <v>19-2000</v>
      </c>
      <c r="I255" s="2" t="str">
        <f>IF(Table1[[#This Row],[Major Group]]&lt;&gt;"","n/a",IF(Table1[[#This Row],[Minor Group]]&lt;&gt;"","n/a",IF(Table1[[#This Row],[Broad Group]]&lt;&gt;"",Table1[[#This Row],[Broad Group]],I254)))</f>
        <v>19-2010</v>
      </c>
      <c r="J2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Occupation]],J254))))</f>
        <v>19-2012</v>
      </c>
      <c r="K255" s="2" t="str">
        <f>Table1[[#This Row],[Group Name]]</f>
        <v>Physicists</v>
      </c>
    </row>
    <row r="256" spans="2:11" x14ac:dyDescent="0.25">
      <c r="C256" s="1" t="s">
        <v>452</v>
      </c>
      <c r="E256" s="1" t="s">
        <v>453</v>
      </c>
      <c r="F2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56" s="2" t="str">
        <f>IF(Table1[[#This Row],[Type]]="Major",Table1[[#This Row],[Major Group]],G255)</f>
        <v>19-0000</v>
      </c>
      <c r="H256" s="2" t="str">
        <f>IF(Table1[[#This Row],[Major Group]]&lt;&gt;"","n/a",IF(Table1[[#This Row],[Minor Group]]&lt;&gt;"",Table1[[#This Row],[Minor Group]],H255))</f>
        <v>19-2000</v>
      </c>
      <c r="I256" s="2" t="str">
        <f>IF(Table1[[#This Row],[Major Group]]&lt;&gt;"","n/a",IF(Table1[[#This Row],[Minor Group]]&lt;&gt;"","n/a",IF(Table1[[#This Row],[Broad Group]]&lt;&gt;"",Table1[[#This Row],[Broad Group]],I255)))</f>
        <v>19-2020</v>
      </c>
      <c r="J2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Occupation]],J255))))</f>
        <v>n/a</v>
      </c>
      <c r="K256" s="2" t="str">
        <f>Table1[[#This Row],[Group Name]]</f>
        <v>Atmospheric and Space Scientists</v>
      </c>
    </row>
    <row r="257" spans="2:11" x14ac:dyDescent="0.25">
      <c r="D257" s="5" t="s">
        <v>454</v>
      </c>
      <c r="E257" s="5" t="s">
        <v>453</v>
      </c>
      <c r="F2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57" s="2" t="str">
        <f>IF(Table1[[#This Row],[Type]]="Major",Table1[[#This Row],[Major Group]],G256)</f>
        <v>19-0000</v>
      </c>
      <c r="H257" s="2" t="str">
        <f>IF(Table1[[#This Row],[Major Group]]&lt;&gt;"","n/a",IF(Table1[[#This Row],[Minor Group]]&lt;&gt;"",Table1[[#This Row],[Minor Group]],H256))</f>
        <v>19-2000</v>
      </c>
      <c r="I257" s="2" t="str">
        <f>IF(Table1[[#This Row],[Major Group]]&lt;&gt;"","n/a",IF(Table1[[#This Row],[Minor Group]]&lt;&gt;"","n/a",IF(Table1[[#This Row],[Broad Group]]&lt;&gt;"",Table1[[#This Row],[Broad Group]],I256)))</f>
        <v>19-2020</v>
      </c>
      <c r="J2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Occupation]],J256))))</f>
        <v>19-2021</v>
      </c>
      <c r="K257" s="2" t="str">
        <f>Table1[[#This Row],[Group Name]]</f>
        <v>Atmospheric and Space Scientists</v>
      </c>
    </row>
    <row r="258" spans="2:11" x14ac:dyDescent="0.25">
      <c r="C258" s="1" t="s">
        <v>455</v>
      </c>
      <c r="E258" s="1" t="s">
        <v>456</v>
      </c>
      <c r="F2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58" s="2" t="str">
        <f>IF(Table1[[#This Row],[Type]]="Major",Table1[[#This Row],[Major Group]],G257)</f>
        <v>19-0000</v>
      </c>
      <c r="H258" s="2" t="str">
        <f>IF(Table1[[#This Row],[Major Group]]&lt;&gt;"","n/a",IF(Table1[[#This Row],[Minor Group]]&lt;&gt;"",Table1[[#This Row],[Minor Group]],H257))</f>
        <v>19-2000</v>
      </c>
      <c r="I258" s="2" t="str">
        <f>IF(Table1[[#This Row],[Major Group]]&lt;&gt;"","n/a",IF(Table1[[#This Row],[Minor Group]]&lt;&gt;"","n/a",IF(Table1[[#This Row],[Broad Group]]&lt;&gt;"",Table1[[#This Row],[Broad Group]],I257)))</f>
        <v>19-2030</v>
      </c>
      <c r="J2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Occupation]],J257))))</f>
        <v>n/a</v>
      </c>
      <c r="K258" s="2" t="str">
        <f>Table1[[#This Row],[Group Name]]</f>
        <v>Chemists and Materials Scientists</v>
      </c>
    </row>
    <row r="259" spans="2:11" x14ac:dyDescent="0.25">
      <c r="D259" s="5" t="s">
        <v>457</v>
      </c>
      <c r="E259" s="5" t="s">
        <v>458</v>
      </c>
      <c r="F2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59" s="2" t="str">
        <f>IF(Table1[[#This Row],[Type]]="Major",Table1[[#This Row],[Major Group]],G258)</f>
        <v>19-0000</v>
      </c>
      <c r="H259" s="2" t="str">
        <f>IF(Table1[[#This Row],[Major Group]]&lt;&gt;"","n/a",IF(Table1[[#This Row],[Minor Group]]&lt;&gt;"",Table1[[#This Row],[Minor Group]],H258))</f>
        <v>19-2000</v>
      </c>
      <c r="I259" s="2" t="str">
        <f>IF(Table1[[#This Row],[Major Group]]&lt;&gt;"","n/a",IF(Table1[[#This Row],[Minor Group]]&lt;&gt;"","n/a",IF(Table1[[#This Row],[Broad Group]]&lt;&gt;"",Table1[[#This Row],[Broad Group]],I258)))</f>
        <v>19-2030</v>
      </c>
      <c r="J2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Occupation]],J258))))</f>
        <v>19-2031</v>
      </c>
      <c r="K259" s="2" t="str">
        <f>Table1[[#This Row],[Group Name]]</f>
        <v>Chemists</v>
      </c>
    </row>
    <row r="260" spans="2:11" x14ac:dyDescent="0.25">
      <c r="D260" s="5" t="s">
        <v>459</v>
      </c>
      <c r="E260" s="5" t="s">
        <v>460</v>
      </c>
      <c r="F2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60" s="2" t="str">
        <f>IF(Table1[[#This Row],[Type]]="Major",Table1[[#This Row],[Major Group]],G259)</f>
        <v>19-0000</v>
      </c>
      <c r="H260" s="2" t="str">
        <f>IF(Table1[[#This Row],[Major Group]]&lt;&gt;"","n/a",IF(Table1[[#This Row],[Minor Group]]&lt;&gt;"",Table1[[#This Row],[Minor Group]],H259))</f>
        <v>19-2000</v>
      </c>
      <c r="I260" s="2" t="str">
        <f>IF(Table1[[#This Row],[Major Group]]&lt;&gt;"","n/a",IF(Table1[[#This Row],[Minor Group]]&lt;&gt;"","n/a",IF(Table1[[#This Row],[Broad Group]]&lt;&gt;"",Table1[[#This Row],[Broad Group]],I259)))</f>
        <v>19-2030</v>
      </c>
      <c r="J2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Occupation]],J259))))</f>
        <v>19-2032</v>
      </c>
      <c r="K260" s="2" t="str">
        <f>Table1[[#This Row],[Group Name]]</f>
        <v>Materials Scientists</v>
      </c>
    </row>
    <row r="261" spans="2:11" ht="30" x14ac:dyDescent="0.25">
      <c r="C261" s="1" t="s">
        <v>461</v>
      </c>
      <c r="E261" s="1" t="s">
        <v>462</v>
      </c>
      <c r="F2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61" s="2" t="str">
        <f>IF(Table1[[#This Row],[Type]]="Major",Table1[[#This Row],[Major Group]],G260)</f>
        <v>19-0000</v>
      </c>
      <c r="H261" s="2" t="str">
        <f>IF(Table1[[#This Row],[Major Group]]&lt;&gt;"","n/a",IF(Table1[[#This Row],[Minor Group]]&lt;&gt;"",Table1[[#This Row],[Minor Group]],H260))</f>
        <v>19-2000</v>
      </c>
      <c r="I261" s="2" t="str">
        <f>IF(Table1[[#This Row],[Major Group]]&lt;&gt;"","n/a",IF(Table1[[#This Row],[Minor Group]]&lt;&gt;"","n/a",IF(Table1[[#This Row],[Broad Group]]&lt;&gt;"",Table1[[#This Row],[Broad Group]],I260)))</f>
        <v>19-2040</v>
      </c>
      <c r="J2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Occupation]],J260))))</f>
        <v>n/a</v>
      </c>
      <c r="K261" s="2" t="str">
        <f>Table1[[#This Row],[Group Name]]</f>
        <v>Environmental Scientists and Geoscientists</v>
      </c>
    </row>
    <row r="262" spans="2:11" ht="25.5" x14ac:dyDescent="0.25">
      <c r="D262" s="5" t="s">
        <v>463</v>
      </c>
      <c r="E262" s="5" t="s">
        <v>464</v>
      </c>
      <c r="F2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62" s="2" t="str">
        <f>IF(Table1[[#This Row],[Type]]="Major",Table1[[#This Row],[Major Group]],G261)</f>
        <v>19-0000</v>
      </c>
      <c r="H262" s="2" t="str">
        <f>IF(Table1[[#This Row],[Major Group]]&lt;&gt;"","n/a",IF(Table1[[#This Row],[Minor Group]]&lt;&gt;"",Table1[[#This Row],[Minor Group]],H261))</f>
        <v>19-2000</v>
      </c>
      <c r="I262" s="2" t="str">
        <f>IF(Table1[[#This Row],[Major Group]]&lt;&gt;"","n/a",IF(Table1[[#This Row],[Minor Group]]&lt;&gt;"","n/a",IF(Table1[[#This Row],[Broad Group]]&lt;&gt;"",Table1[[#This Row],[Broad Group]],I261)))</f>
        <v>19-2040</v>
      </c>
      <c r="J2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Occupation]],J261))))</f>
        <v>19-2041</v>
      </c>
      <c r="K262" s="2" t="str">
        <f>Table1[[#This Row],[Group Name]]</f>
        <v>Environmental Scientists and Specialists, Including Health</v>
      </c>
    </row>
    <row r="263" spans="2:11" ht="25.5" x14ac:dyDescent="0.25">
      <c r="D263" s="5" t="s">
        <v>465</v>
      </c>
      <c r="E263" s="5" t="s">
        <v>466</v>
      </c>
      <c r="F2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63" s="2" t="str">
        <f>IF(Table1[[#This Row],[Type]]="Major",Table1[[#This Row],[Major Group]],G262)</f>
        <v>19-0000</v>
      </c>
      <c r="H263" s="2" t="str">
        <f>IF(Table1[[#This Row],[Major Group]]&lt;&gt;"","n/a",IF(Table1[[#This Row],[Minor Group]]&lt;&gt;"",Table1[[#This Row],[Minor Group]],H262))</f>
        <v>19-2000</v>
      </c>
      <c r="I263" s="2" t="str">
        <f>IF(Table1[[#This Row],[Major Group]]&lt;&gt;"","n/a",IF(Table1[[#This Row],[Minor Group]]&lt;&gt;"","n/a",IF(Table1[[#This Row],[Broad Group]]&lt;&gt;"",Table1[[#This Row],[Broad Group]],I262)))</f>
        <v>19-2040</v>
      </c>
      <c r="J2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Occupation]],J262))))</f>
        <v>19-2042</v>
      </c>
      <c r="K263" s="2" t="str">
        <f>Table1[[#This Row],[Group Name]]</f>
        <v>Geoscientists, Except Hydrologists and Geographers</v>
      </c>
    </row>
    <row r="264" spans="2:11" x14ac:dyDescent="0.25">
      <c r="D264" s="5" t="s">
        <v>467</v>
      </c>
      <c r="E264" s="5" t="s">
        <v>468</v>
      </c>
      <c r="F2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64" s="2" t="str">
        <f>IF(Table1[[#This Row],[Type]]="Major",Table1[[#This Row],[Major Group]],G263)</f>
        <v>19-0000</v>
      </c>
      <c r="H264" s="2" t="str">
        <f>IF(Table1[[#This Row],[Major Group]]&lt;&gt;"","n/a",IF(Table1[[#This Row],[Minor Group]]&lt;&gt;"",Table1[[#This Row],[Minor Group]],H263))</f>
        <v>19-2000</v>
      </c>
      <c r="I264" s="2" t="str">
        <f>IF(Table1[[#This Row],[Major Group]]&lt;&gt;"","n/a",IF(Table1[[#This Row],[Minor Group]]&lt;&gt;"","n/a",IF(Table1[[#This Row],[Broad Group]]&lt;&gt;"",Table1[[#This Row],[Broad Group]],I263)))</f>
        <v>19-2040</v>
      </c>
      <c r="J2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Occupation]],J263))))</f>
        <v>19-2043</v>
      </c>
      <c r="K264" s="2" t="str">
        <f>Table1[[#This Row],[Group Name]]</f>
        <v>Hydrologists</v>
      </c>
    </row>
    <row r="265" spans="2:11" x14ac:dyDescent="0.25">
      <c r="C265" s="1" t="s">
        <v>469</v>
      </c>
      <c r="E265" s="1" t="s">
        <v>470</v>
      </c>
      <c r="F2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65" s="2" t="str">
        <f>IF(Table1[[#This Row],[Type]]="Major",Table1[[#This Row],[Major Group]],G264)</f>
        <v>19-0000</v>
      </c>
      <c r="H265" s="2" t="str">
        <f>IF(Table1[[#This Row],[Major Group]]&lt;&gt;"","n/a",IF(Table1[[#This Row],[Minor Group]]&lt;&gt;"",Table1[[#This Row],[Minor Group]],H264))</f>
        <v>19-2000</v>
      </c>
      <c r="I265" s="2" t="str">
        <f>IF(Table1[[#This Row],[Major Group]]&lt;&gt;"","n/a",IF(Table1[[#This Row],[Minor Group]]&lt;&gt;"","n/a",IF(Table1[[#This Row],[Broad Group]]&lt;&gt;"",Table1[[#This Row],[Broad Group]],I264)))</f>
        <v>19-2090</v>
      </c>
      <c r="J2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Occupation]],J264))))</f>
        <v>n/a</v>
      </c>
      <c r="K265" s="2" t="str">
        <f>Table1[[#This Row],[Group Name]]</f>
        <v>Miscellaneous Physical Scientists</v>
      </c>
    </row>
    <row r="266" spans="2:11" x14ac:dyDescent="0.25">
      <c r="D266" s="5" t="s">
        <v>471</v>
      </c>
      <c r="E266" s="5" t="s">
        <v>472</v>
      </c>
      <c r="F2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66" s="2" t="str">
        <f>IF(Table1[[#This Row],[Type]]="Major",Table1[[#This Row],[Major Group]],G265)</f>
        <v>19-0000</v>
      </c>
      <c r="H266" s="2" t="str">
        <f>IF(Table1[[#This Row],[Major Group]]&lt;&gt;"","n/a",IF(Table1[[#This Row],[Minor Group]]&lt;&gt;"",Table1[[#This Row],[Minor Group]],H265))</f>
        <v>19-2000</v>
      </c>
      <c r="I266" s="2" t="str">
        <f>IF(Table1[[#This Row],[Major Group]]&lt;&gt;"","n/a",IF(Table1[[#This Row],[Minor Group]]&lt;&gt;"","n/a",IF(Table1[[#This Row],[Broad Group]]&lt;&gt;"",Table1[[#This Row],[Broad Group]],I265)))</f>
        <v>19-2090</v>
      </c>
      <c r="J2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Occupation]],J265))))</f>
        <v>19-2099</v>
      </c>
      <c r="K266" s="2" t="str">
        <f>Table1[[#This Row],[Group Name]]</f>
        <v>Physical Scientists, All Other</v>
      </c>
    </row>
    <row r="267" spans="2:11" x14ac:dyDescent="0.25">
      <c r="B267" s="3" t="s">
        <v>473</v>
      </c>
      <c r="E267" s="3" t="s">
        <v>474</v>
      </c>
      <c r="F2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267" s="2" t="str">
        <f>IF(Table1[[#This Row],[Type]]="Major",Table1[[#This Row],[Major Group]],G266)</f>
        <v>19-0000</v>
      </c>
      <c r="H267" s="2" t="str">
        <f>IF(Table1[[#This Row],[Major Group]]&lt;&gt;"","n/a",IF(Table1[[#This Row],[Minor Group]]&lt;&gt;"",Table1[[#This Row],[Minor Group]],H266))</f>
        <v>19-3000</v>
      </c>
      <c r="I267" s="2" t="str">
        <f>IF(Table1[[#This Row],[Major Group]]&lt;&gt;"","n/a",IF(Table1[[#This Row],[Minor Group]]&lt;&gt;"","n/a",IF(Table1[[#This Row],[Broad Group]]&lt;&gt;"",Table1[[#This Row],[Broad Group]],I266)))</f>
        <v>n/a</v>
      </c>
      <c r="J2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Occupation]],J266))))</f>
        <v>n/a</v>
      </c>
      <c r="K267" s="2" t="str">
        <f>Table1[[#This Row],[Group Name]]</f>
        <v>Social Scientists and Related Workers</v>
      </c>
    </row>
    <row r="268" spans="2:11" x14ac:dyDescent="0.25">
      <c r="C268" s="1" t="s">
        <v>475</v>
      </c>
      <c r="E268" s="1" t="s">
        <v>476</v>
      </c>
      <c r="F2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68" s="2" t="str">
        <f>IF(Table1[[#This Row],[Type]]="Major",Table1[[#This Row],[Major Group]],G267)</f>
        <v>19-0000</v>
      </c>
      <c r="H268" s="2" t="str">
        <f>IF(Table1[[#This Row],[Major Group]]&lt;&gt;"","n/a",IF(Table1[[#This Row],[Minor Group]]&lt;&gt;"",Table1[[#This Row],[Minor Group]],H267))</f>
        <v>19-3000</v>
      </c>
      <c r="I268" s="2" t="str">
        <f>IF(Table1[[#This Row],[Major Group]]&lt;&gt;"","n/a",IF(Table1[[#This Row],[Minor Group]]&lt;&gt;"","n/a",IF(Table1[[#This Row],[Broad Group]]&lt;&gt;"",Table1[[#This Row],[Broad Group]],I267)))</f>
        <v>19-3010</v>
      </c>
      <c r="J2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Occupation]],J267))))</f>
        <v>n/a</v>
      </c>
      <c r="K268" s="2" t="str">
        <f>Table1[[#This Row],[Group Name]]</f>
        <v>Economists</v>
      </c>
    </row>
    <row r="269" spans="2:11" x14ac:dyDescent="0.25">
      <c r="D269" s="5" t="s">
        <v>477</v>
      </c>
      <c r="E269" s="5" t="s">
        <v>476</v>
      </c>
      <c r="F2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69" s="2" t="str">
        <f>IF(Table1[[#This Row],[Type]]="Major",Table1[[#This Row],[Major Group]],G268)</f>
        <v>19-0000</v>
      </c>
      <c r="H269" s="2" t="str">
        <f>IF(Table1[[#This Row],[Major Group]]&lt;&gt;"","n/a",IF(Table1[[#This Row],[Minor Group]]&lt;&gt;"",Table1[[#This Row],[Minor Group]],H268))</f>
        <v>19-3000</v>
      </c>
      <c r="I269" s="2" t="str">
        <f>IF(Table1[[#This Row],[Major Group]]&lt;&gt;"","n/a",IF(Table1[[#This Row],[Minor Group]]&lt;&gt;"","n/a",IF(Table1[[#This Row],[Broad Group]]&lt;&gt;"",Table1[[#This Row],[Broad Group]],I268)))</f>
        <v>19-3010</v>
      </c>
      <c r="J2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Occupation]],J268))))</f>
        <v>19-3011</v>
      </c>
      <c r="K269" s="2" t="str">
        <f>Table1[[#This Row],[Group Name]]</f>
        <v>Economists</v>
      </c>
    </row>
    <row r="270" spans="2:11" x14ac:dyDescent="0.25">
      <c r="C270" s="1" t="s">
        <v>478</v>
      </c>
      <c r="E270" s="1" t="s">
        <v>479</v>
      </c>
      <c r="F2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70" s="2" t="str">
        <f>IF(Table1[[#This Row],[Type]]="Major",Table1[[#This Row],[Major Group]],G269)</f>
        <v>19-0000</v>
      </c>
      <c r="H270" s="2" t="str">
        <f>IF(Table1[[#This Row],[Major Group]]&lt;&gt;"","n/a",IF(Table1[[#This Row],[Minor Group]]&lt;&gt;"",Table1[[#This Row],[Minor Group]],H269))</f>
        <v>19-3000</v>
      </c>
      <c r="I270" s="2" t="str">
        <f>IF(Table1[[#This Row],[Major Group]]&lt;&gt;"","n/a",IF(Table1[[#This Row],[Minor Group]]&lt;&gt;"","n/a",IF(Table1[[#This Row],[Broad Group]]&lt;&gt;"",Table1[[#This Row],[Broad Group]],I269)))</f>
        <v>19-3020</v>
      </c>
      <c r="J2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Occupation]],J269))))</f>
        <v>n/a</v>
      </c>
      <c r="K270" s="2" t="str">
        <f>Table1[[#This Row],[Group Name]]</f>
        <v>Survey Researchers</v>
      </c>
    </row>
    <row r="271" spans="2:11" x14ac:dyDescent="0.25">
      <c r="D271" s="5" t="s">
        <v>480</v>
      </c>
      <c r="E271" s="5" t="s">
        <v>479</v>
      </c>
      <c r="F2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71" s="2" t="str">
        <f>IF(Table1[[#This Row],[Type]]="Major",Table1[[#This Row],[Major Group]],G270)</f>
        <v>19-0000</v>
      </c>
      <c r="H271" s="2" t="str">
        <f>IF(Table1[[#This Row],[Major Group]]&lt;&gt;"","n/a",IF(Table1[[#This Row],[Minor Group]]&lt;&gt;"",Table1[[#This Row],[Minor Group]],H270))</f>
        <v>19-3000</v>
      </c>
      <c r="I271" s="2" t="str">
        <f>IF(Table1[[#This Row],[Major Group]]&lt;&gt;"","n/a",IF(Table1[[#This Row],[Minor Group]]&lt;&gt;"","n/a",IF(Table1[[#This Row],[Broad Group]]&lt;&gt;"",Table1[[#This Row],[Broad Group]],I270)))</f>
        <v>19-3020</v>
      </c>
      <c r="J2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Occupation]],J270))))</f>
        <v>19-3022</v>
      </c>
      <c r="K271" s="2" t="str">
        <f>Table1[[#This Row],[Group Name]]</f>
        <v>Survey Researchers</v>
      </c>
    </row>
    <row r="272" spans="2:11" x14ac:dyDescent="0.25">
      <c r="C272" s="1" t="s">
        <v>481</v>
      </c>
      <c r="E272" s="1" t="s">
        <v>482</v>
      </c>
      <c r="F2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72" s="2" t="str">
        <f>IF(Table1[[#This Row],[Type]]="Major",Table1[[#This Row],[Major Group]],G271)</f>
        <v>19-0000</v>
      </c>
      <c r="H272" s="2" t="str">
        <f>IF(Table1[[#This Row],[Major Group]]&lt;&gt;"","n/a",IF(Table1[[#This Row],[Minor Group]]&lt;&gt;"",Table1[[#This Row],[Minor Group]],H271))</f>
        <v>19-3000</v>
      </c>
      <c r="I272" s="2" t="str">
        <f>IF(Table1[[#This Row],[Major Group]]&lt;&gt;"","n/a",IF(Table1[[#This Row],[Minor Group]]&lt;&gt;"","n/a",IF(Table1[[#This Row],[Broad Group]]&lt;&gt;"",Table1[[#This Row],[Broad Group]],I271)))</f>
        <v>19-3030</v>
      </c>
      <c r="J2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Occupation]],J271))))</f>
        <v>n/a</v>
      </c>
      <c r="K272" s="2" t="str">
        <f>Table1[[#This Row],[Group Name]]</f>
        <v>Psychologists</v>
      </c>
    </row>
    <row r="273" spans="2:11" ht="25.5" x14ac:dyDescent="0.25">
      <c r="D273" s="5" t="s">
        <v>483</v>
      </c>
      <c r="E273" s="5" t="s">
        <v>484</v>
      </c>
      <c r="F2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73" s="2" t="str">
        <f>IF(Table1[[#This Row],[Type]]="Major",Table1[[#This Row],[Major Group]],G272)</f>
        <v>19-0000</v>
      </c>
      <c r="H273" s="2" t="str">
        <f>IF(Table1[[#This Row],[Major Group]]&lt;&gt;"","n/a",IF(Table1[[#This Row],[Minor Group]]&lt;&gt;"",Table1[[#This Row],[Minor Group]],H272))</f>
        <v>19-3000</v>
      </c>
      <c r="I273" s="2" t="str">
        <f>IF(Table1[[#This Row],[Major Group]]&lt;&gt;"","n/a",IF(Table1[[#This Row],[Minor Group]]&lt;&gt;"","n/a",IF(Table1[[#This Row],[Broad Group]]&lt;&gt;"",Table1[[#This Row],[Broad Group]],I272)))</f>
        <v>19-3030</v>
      </c>
      <c r="J2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Occupation]],J272))))</f>
        <v>19-3032</v>
      </c>
      <c r="K273" s="2" t="str">
        <f>Table1[[#This Row],[Group Name]]</f>
        <v>Industrial-Organizational Psychologists</v>
      </c>
    </row>
    <row r="274" spans="2:11" x14ac:dyDescent="0.25">
      <c r="D274" s="5" t="s">
        <v>485</v>
      </c>
      <c r="E274" s="5" t="s">
        <v>486</v>
      </c>
      <c r="F2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74" s="2" t="str">
        <f>IF(Table1[[#This Row],[Type]]="Major",Table1[[#This Row],[Major Group]],G273)</f>
        <v>19-0000</v>
      </c>
      <c r="H274" s="2" t="str">
        <f>IF(Table1[[#This Row],[Major Group]]&lt;&gt;"","n/a",IF(Table1[[#This Row],[Minor Group]]&lt;&gt;"",Table1[[#This Row],[Minor Group]],H273))</f>
        <v>19-3000</v>
      </c>
      <c r="I274" s="2" t="str">
        <f>IF(Table1[[#This Row],[Major Group]]&lt;&gt;"","n/a",IF(Table1[[#This Row],[Minor Group]]&lt;&gt;"","n/a",IF(Table1[[#This Row],[Broad Group]]&lt;&gt;"",Table1[[#This Row],[Broad Group]],I273)))</f>
        <v>19-3030</v>
      </c>
      <c r="J2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Occupation]],J273))))</f>
        <v>19-3033</v>
      </c>
      <c r="K274" s="2" t="str">
        <f>Table1[[#This Row],[Group Name]]</f>
        <v>Clinical and Counseling Psychologists</v>
      </c>
    </row>
    <row r="275" spans="2:11" x14ac:dyDescent="0.25">
      <c r="D275" s="5" t="s">
        <v>487</v>
      </c>
      <c r="E275" s="5" t="s">
        <v>488</v>
      </c>
      <c r="F2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75" s="2" t="str">
        <f>IF(Table1[[#This Row],[Type]]="Major",Table1[[#This Row],[Major Group]],G274)</f>
        <v>19-0000</v>
      </c>
      <c r="H275" s="2" t="str">
        <f>IF(Table1[[#This Row],[Major Group]]&lt;&gt;"","n/a",IF(Table1[[#This Row],[Minor Group]]&lt;&gt;"",Table1[[#This Row],[Minor Group]],H274))</f>
        <v>19-3000</v>
      </c>
      <c r="I275" s="2" t="str">
        <f>IF(Table1[[#This Row],[Major Group]]&lt;&gt;"","n/a",IF(Table1[[#This Row],[Minor Group]]&lt;&gt;"","n/a",IF(Table1[[#This Row],[Broad Group]]&lt;&gt;"",Table1[[#This Row],[Broad Group]],I274)))</f>
        <v>19-3030</v>
      </c>
      <c r="J2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Occupation]],J274))))</f>
        <v>19-3034</v>
      </c>
      <c r="K275" s="2" t="str">
        <f>Table1[[#This Row],[Group Name]]</f>
        <v>School Psychologists</v>
      </c>
    </row>
    <row r="276" spans="2:11" x14ac:dyDescent="0.25">
      <c r="D276" s="5" t="s">
        <v>489</v>
      </c>
      <c r="E276" s="5" t="s">
        <v>490</v>
      </c>
      <c r="F2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76" s="2" t="str">
        <f>IF(Table1[[#This Row],[Type]]="Major",Table1[[#This Row],[Major Group]],G275)</f>
        <v>19-0000</v>
      </c>
      <c r="H276" s="2" t="str">
        <f>IF(Table1[[#This Row],[Major Group]]&lt;&gt;"","n/a",IF(Table1[[#This Row],[Minor Group]]&lt;&gt;"",Table1[[#This Row],[Minor Group]],H275))</f>
        <v>19-3000</v>
      </c>
      <c r="I276" s="2" t="str">
        <f>IF(Table1[[#This Row],[Major Group]]&lt;&gt;"","n/a",IF(Table1[[#This Row],[Minor Group]]&lt;&gt;"","n/a",IF(Table1[[#This Row],[Broad Group]]&lt;&gt;"",Table1[[#This Row],[Broad Group]],I275)))</f>
        <v>19-3030</v>
      </c>
      <c r="J2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Occupation]],J275))))</f>
        <v>19-3039</v>
      </c>
      <c r="K276" s="2" t="str">
        <f>Table1[[#This Row],[Group Name]]</f>
        <v>Psychologists, All Other</v>
      </c>
    </row>
    <row r="277" spans="2:11" x14ac:dyDescent="0.25">
      <c r="C277" s="1" t="s">
        <v>491</v>
      </c>
      <c r="E277" s="1" t="s">
        <v>492</v>
      </c>
      <c r="F2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77" s="2" t="str">
        <f>IF(Table1[[#This Row],[Type]]="Major",Table1[[#This Row],[Major Group]],G276)</f>
        <v>19-0000</v>
      </c>
      <c r="H277" s="2" t="str">
        <f>IF(Table1[[#This Row],[Major Group]]&lt;&gt;"","n/a",IF(Table1[[#This Row],[Minor Group]]&lt;&gt;"",Table1[[#This Row],[Minor Group]],H276))</f>
        <v>19-3000</v>
      </c>
      <c r="I277" s="2" t="str">
        <f>IF(Table1[[#This Row],[Major Group]]&lt;&gt;"","n/a",IF(Table1[[#This Row],[Minor Group]]&lt;&gt;"","n/a",IF(Table1[[#This Row],[Broad Group]]&lt;&gt;"",Table1[[#This Row],[Broad Group]],I276)))</f>
        <v>19-3040</v>
      </c>
      <c r="J2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Occupation]],J276))))</f>
        <v>n/a</v>
      </c>
      <c r="K277" s="2" t="str">
        <f>Table1[[#This Row],[Group Name]]</f>
        <v>Sociologists</v>
      </c>
    </row>
    <row r="278" spans="2:11" x14ac:dyDescent="0.25">
      <c r="D278" s="5" t="s">
        <v>493</v>
      </c>
      <c r="E278" s="5" t="s">
        <v>492</v>
      </c>
      <c r="F2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78" s="2" t="str">
        <f>IF(Table1[[#This Row],[Type]]="Major",Table1[[#This Row],[Major Group]],G277)</f>
        <v>19-0000</v>
      </c>
      <c r="H278" s="2" t="str">
        <f>IF(Table1[[#This Row],[Major Group]]&lt;&gt;"","n/a",IF(Table1[[#This Row],[Minor Group]]&lt;&gt;"",Table1[[#This Row],[Minor Group]],H277))</f>
        <v>19-3000</v>
      </c>
      <c r="I278" s="2" t="str">
        <f>IF(Table1[[#This Row],[Major Group]]&lt;&gt;"","n/a",IF(Table1[[#This Row],[Minor Group]]&lt;&gt;"","n/a",IF(Table1[[#This Row],[Broad Group]]&lt;&gt;"",Table1[[#This Row],[Broad Group]],I277)))</f>
        <v>19-3040</v>
      </c>
      <c r="J2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Occupation]],J277))))</f>
        <v>19-3041</v>
      </c>
      <c r="K278" s="2" t="str">
        <f>Table1[[#This Row],[Group Name]]</f>
        <v>Sociologists</v>
      </c>
    </row>
    <row r="279" spans="2:11" x14ac:dyDescent="0.25">
      <c r="C279" s="1" t="s">
        <v>494</v>
      </c>
      <c r="E279" s="1" t="s">
        <v>495</v>
      </c>
      <c r="F2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79" s="2" t="str">
        <f>IF(Table1[[#This Row],[Type]]="Major",Table1[[#This Row],[Major Group]],G278)</f>
        <v>19-0000</v>
      </c>
      <c r="H279" s="2" t="str">
        <f>IF(Table1[[#This Row],[Major Group]]&lt;&gt;"","n/a",IF(Table1[[#This Row],[Minor Group]]&lt;&gt;"",Table1[[#This Row],[Minor Group]],H278))</f>
        <v>19-3000</v>
      </c>
      <c r="I279" s="2" t="str">
        <f>IF(Table1[[#This Row],[Major Group]]&lt;&gt;"","n/a",IF(Table1[[#This Row],[Minor Group]]&lt;&gt;"","n/a",IF(Table1[[#This Row],[Broad Group]]&lt;&gt;"",Table1[[#This Row],[Broad Group]],I278)))</f>
        <v>19-3050</v>
      </c>
      <c r="J2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Occupation]],J278))))</f>
        <v>n/a</v>
      </c>
      <c r="K279" s="2" t="str">
        <f>Table1[[#This Row],[Group Name]]</f>
        <v>Urban and Regional Planners</v>
      </c>
    </row>
    <row r="280" spans="2:11" x14ac:dyDescent="0.25">
      <c r="D280" s="5" t="s">
        <v>496</v>
      </c>
      <c r="E280" s="5" t="s">
        <v>495</v>
      </c>
      <c r="F2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0" s="2" t="str">
        <f>IF(Table1[[#This Row],[Type]]="Major",Table1[[#This Row],[Major Group]],G279)</f>
        <v>19-0000</v>
      </c>
      <c r="H280" s="2" t="str">
        <f>IF(Table1[[#This Row],[Major Group]]&lt;&gt;"","n/a",IF(Table1[[#This Row],[Minor Group]]&lt;&gt;"",Table1[[#This Row],[Minor Group]],H279))</f>
        <v>19-3000</v>
      </c>
      <c r="I280" s="2" t="str">
        <f>IF(Table1[[#This Row],[Major Group]]&lt;&gt;"","n/a",IF(Table1[[#This Row],[Minor Group]]&lt;&gt;"","n/a",IF(Table1[[#This Row],[Broad Group]]&lt;&gt;"",Table1[[#This Row],[Broad Group]],I279)))</f>
        <v>19-3050</v>
      </c>
      <c r="J2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Occupation]],J279))))</f>
        <v>19-3051</v>
      </c>
      <c r="K280" s="2" t="str">
        <f>Table1[[#This Row],[Group Name]]</f>
        <v>Urban and Regional Planners</v>
      </c>
    </row>
    <row r="281" spans="2:11" ht="30" x14ac:dyDescent="0.25">
      <c r="C281" s="1" t="s">
        <v>497</v>
      </c>
      <c r="E281" s="1" t="s">
        <v>498</v>
      </c>
      <c r="F2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81" s="2" t="str">
        <f>IF(Table1[[#This Row],[Type]]="Major",Table1[[#This Row],[Major Group]],G280)</f>
        <v>19-0000</v>
      </c>
      <c r="H281" s="2" t="str">
        <f>IF(Table1[[#This Row],[Major Group]]&lt;&gt;"","n/a",IF(Table1[[#This Row],[Minor Group]]&lt;&gt;"",Table1[[#This Row],[Minor Group]],H280))</f>
        <v>19-3000</v>
      </c>
      <c r="I281" s="2" t="str">
        <f>IF(Table1[[#This Row],[Major Group]]&lt;&gt;"","n/a",IF(Table1[[#This Row],[Minor Group]]&lt;&gt;"","n/a",IF(Table1[[#This Row],[Broad Group]]&lt;&gt;"",Table1[[#This Row],[Broad Group]],I280)))</f>
        <v>19-3090</v>
      </c>
      <c r="J2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Occupation]],J280))))</f>
        <v>n/a</v>
      </c>
      <c r="K281" s="2" t="str">
        <f>Table1[[#This Row],[Group Name]]</f>
        <v>Miscellaneous Social Scientists and Related Workers</v>
      </c>
    </row>
    <row r="282" spans="2:11" x14ac:dyDescent="0.25">
      <c r="D282" s="5" t="s">
        <v>499</v>
      </c>
      <c r="E282" s="5" t="s">
        <v>500</v>
      </c>
      <c r="F2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2" s="2" t="str">
        <f>IF(Table1[[#This Row],[Type]]="Major",Table1[[#This Row],[Major Group]],G281)</f>
        <v>19-0000</v>
      </c>
      <c r="H282" s="2" t="str">
        <f>IF(Table1[[#This Row],[Major Group]]&lt;&gt;"","n/a",IF(Table1[[#This Row],[Minor Group]]&lt;&gt;"",Table1[[#This Row],[Minor Group]],H281))</f>
        <v>19-3000</v>
      </c>
      <c r="I282" s="2" t="str">
        <f>IF(Table1[[#This Row],[Major Group]]&lt;&gt;"","n/a",IF(Table1[[#This Row],[Minor Group]]&lt;&gt;"","n/a",IF(Table1[[#This Row],[Broad Group]]&lt;&gt;"",Table1[[#This Row],[Broad Group]],I281)))</f>
        <v>19-3090</v>
      </c>
      <c r="J2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Occupation]],J281))))</f>
        <v>19-3091</v>
      </c>
      <c r="K282" s="2" t="str">
        <f>Table1[[#This Row],[Group Name]]</f>
        <v>Anthropologists and Archeologists</v>
      </c>
    </row>
    <row r="283" spans="2:11" x14ac:dyDescent="0.25">
      <c r="D283" s="5" t="s">
        <v>501</v>
      </c>
      <c r="E283" s="5" t="s">
        <v>502</v>
      </c>
      <c r="F2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3" s="2" t="str">
        <f>IF(Table1[[#This Row],[Type]]="Major",Table1[[#This Row],[Major Group]],G282)</f>
        <v>19-0000</v>
      </c>
      <c r="H283" s="2" t="str">
        <f>IF(Table1[[#This Row],[Major Group]]&lt;&gt;"","n/a",IF(Table1[[#This Row],[Minor Group]]&lt;&gt;"",Table1[[#This Row],[Minor Group]],H282))</f>
        <v>19-3000</v>
      </c>
      <c r="I283" s="2" t="str">
        <f>IF(Table1[[#This Row],[Major Group]]&lt;&gt;"","n/a",IF(Table1[[#This Row],[Minor Group]]&lt;&gt;"","n/a",IF(Table1[[#This Row],[Broad Group]]&lt;&gt;"",Table1[[#This Row],[Broad Group]],I282)))</f>
        <v>19-3090</v>
      </c>
      <c r="J2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Occupation]],J282))))</f>
        <v>19-3092</v>
      </c>
      <c r="K283" s="2" t="str">
        <f>Table1[[#This Row],[Group Name]]</f>
        <v>Geographers</v>
      </c>
    </row>
    <row r="284" spans="2:11" x14ac:dyDescent="0.25">
      <c r="D284" s="5" t="s">
        <v>503</v>
      </c>
      <c r="E284" s="5" t="s">
        <v>504</v>
      </c>
      <c r="F2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4" s="2" t="str">
        <f>IF(Table1[[#This Row],[Type]]="Major",Table1[[#This Row],[Major Group]],G283)</f>
        <v>19-0000</v>
      </c>
      <c r="H284" s="2" t="str">
        <f>IF(Table1[[#This Row],[Major Group]]&lt;&gt;"","n/a",IF(Table1[[#This Row],[Minor Group]]&lt;&gt;"",Table1[[#This Row],[Minor Group]],H283))</f>
        <v>19-3000</v>
      </c>
      <c r="I284" s="2" t="str">
        <f>IF(Table1[[#This Row],[Major Group]]&lt;&gt;"","n/a",IF(Table1[[#This Row],[Minor Group]]&lt;&gt;"","n/a",IF(Table1[[#This Row],[Broad Group]]&lt;&gt;"",Table1[[#This Row],[Broad Group]],I283)))</f>
        <v>19-3090</v>
      </c>
      <c r="J2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Occupation]],J283))))</f>
        <v>19-3093</v>
      </c>
      <c r="K284" s="2" t="str">
        <f>Table1[[#This Row],[Group Name]]</f>
        <v>Historians</v>
      </c>
    </row>
    <row r="285" spans="2:11" x14ac:dyDescent="0.25">
      <c r="D285" s="5" t="s">
        <v>505</v>
      </c>
      <c r="E285" s="5" t="s">
        <v>506</v>
      </c>
      <c r="F2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5" s="2" t="str">
        <f>IF(Table1[[#This Row],[Type]]="Major",Table1[[#This Row],[Major Group]],G284)</f>
        <v>19-0000</v>
      </c>
      <c r="H285" s="2" t="str">
        <f>IF(Table1[[#This Row],[Major Group]]&lt;&gt;"","n/a",IF(Table1[[#This Row],[Minor Group]]&lt;&gt;"",Table1[[#This Row],[Minor Group]],H284))</f>
        <v>19-3000</v>
      </c>
      <c r="I285" s="2" t="str">
        <f>IF(Table1[[#This Row],[Major Group]]&lt;&gt;"","n/a",IF(Table1[[#This Row],[Minor Group]]&lt;&gt;"","n/a",IF(Table1[[#This Row],[Broad Group]]&lt;&gt;"",Table1[[#This Row],[Broad Group]],I284)))</f>
        <v>19-3090</v>
      </c>
      <c r="J2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Occupation]],J284))))</f>
        <v>19-3094</v>
      </c>
      <c r="K285" s="2" t="str">
        <f>Table1[[#This Row],[Group Name]]</f>
        <v>Political Scientists</v>
      </c>
    </row>
    <row r="286" spans="2:11" ht="25.5" x14ac:dyDescent="0.25">
      <c r="D286" s="5" t="s">
        <v>507</v>
      </c>
      <c r="E286" s="5" t="s">
        <v>508</v>
      </c>
      <c r="F2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6" s="2" t="str">
        <f>IF(Table1[[#This Row],[Type]]="Major",Table1[[#This Row],[Major Group]],G285)</f>
        <v>19-0000</v>
      </c>
      <c r="H286" s="2" t="str">
        <f>IF(Table1[[#This Row],[Major Group]]&lt;&gt;"","n/a",IF(Table1[[#This Row],[Minor Group]]&lt;&gt;"",Table1[[#This Row],[Minor Group]],H285))</f>
        <v>19-3000</v>
      </c>
      <c r="I286" s="2" t="str">
        <f>IF(Table1[[#This Row],[Major Group]]&lt;&gt;"","n/a",IF(Table1[[#This Row],[Minor Group]]&lt;&gt;"","n/a",IF(Table1[[#This Row],[Broad Group]]&lt;&gt;"",Table1[[#This Row],[Broad Group]],I285)))</f>
        <v>19-3090</v>
      </c>
      <c r="J2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Occupation]],J285))))</f>
        <v>19-3099</v>
      </c>
      <c r="K286" s="2" t="str">
        <f>Table1[[#This Row],[Group Name]]</f>
        <v>Social Scientists and Related Workers, All Other</v>
      </c>
    </row>
    <row r="287" spans="2:11" x14ac:dyDescent="0.25">
      <c r="B287" s="3" t="s">
        <v>509</v>
      </c>
      <c r="E287" s="3" t="s">
        <v>510</v>
      </c>
      <c r="F2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287" s="2" t="str">
        <f>IF(Table1[[#This Row],[Type]]="Major",Table1[[#This Row],[Major Group]],G286)</f>
        <v>19-0000</v>
      </c>
      <c r="H287" s="2" t="str">
        <f>IF(Table1[[#This Row],[Major Group]]&lt;&gt;"","n/a",IF(Table1[[#This Row],[Minor Group]]&lt;&gt;"",Table1[[#This Row],[Minor Group]],H286))</f>
        <v>19-4000</v>
      </c>
      <c r="I287" s="2" t="str">
        <f>IF(Table1[[#This Row],[Major Group]]&lt;&gt;"","n/a",IF(Table1[[#This Row],[Minor Group]]&lt;&gt;"","n/a",IF(Table1[[#This Row],[Broad Group]]&lt;&gt;"",Table1[[#This Row],[Broad Group]],I286)))</f>
        <v>n/a</v>
      </c>
      <c r="J2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Occupation]],J286))))</f>
        <v>n/a</v>
      </c>
      <c r="K287" s="2" t="str">
        <f>Table1[[#This Row],[Group Name]]</f>
        <v>Life, Physical, and Social Science Technicians</v>
      </c>
    </row>
    <row r="288" spans="2:11" ht="30" x14ac:dyDescent="0.25">
      <c r="C288" s="1" t="s">
        <v>511</v>
      </c>
      <c r="E288" s="1" t="s">
        <v>512</v>
      </c>
      <c r="F2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88" s="2" t="str">
        <f>IF(Table1[[#This Row],[Type]]="Major",Table1[[#This Row],[Major Group]],G287)</f>
        <v>19-0000</v>
      </c>
      <c r="H288" s="2" t="str">
        <f>IF(Table1[[#This Row],[Major Group]]&lt;&gt;"","n/a",IF(Table1[[#This Row],[Minor Group]]&lt;&gt;"",Table1[[#This Row],[Minor Group]],H287))</f>
        <v>19-4000</v>
      </c>
      <c r="I288" s="2" t="str">
        <f>IF(Table1[[#This Row],[Major Group]]&lt;&gt;"","n/a",IF(Table1[[#This Row],[Minor Group]]&lt;&gt;"","n/a",IF(Table1[[#This Row],[Broad Group]]&lt;&gt;"",Table1[[#This Row],[Broad Group]],I287)))</f>
        <v>19-4010</v>
      </c>
      <c r="J2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Occupation]],J287))))</f>
        <v>n/a</v>
      </c>
      <c r="K288" s="2" t="str">
        <f>Table1[[#This Row],[Group Name]]</f>
        <v>Agricultural and Food Science Technicians</v>
      </c>
    </row>
    <row r="289" spans="3:11" x14ac:dyDescent="0.25">
      <c r="D289" s="5" t="s">
        <v>513</v>
      </c>
      <c r="E289" s="5" t="s">
        <v>514</v>
      </c>
      <c r="F2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89" s="2" t="str">
        <f>IF(Table1[[#This Row],[Type]]="Major",Table1[[#This Row],[Major Group]],G288)</f>
        <v>19-0000</v>
      </c>
      <c r="H289" s="2" t="str">
        <f>IF(Table1[[#This Row],[Major Group]]&lt;&gt;"","n/a",IF(Table1[[#This Row],[Minor Group]]&lt;&gt;"",Table1[[#This Row],[Minor Group]],H288))</f>
        <v>19-4000</v>
      </c>
      <c r="I289" s="2" t="str">
        <f>IF(Table1[[#This Row],[Major Group]]&lt;&gt;"","n/a",IF(Table1[[#This Row],[Minor Group]]&lt;&gt;"","n/a",IF(Table1[[#This Row],[Broad Group]]&lt;&gt;"",Table1[[#This Row],[Broad Group]],I288)))</f>
        <v>19-4010</v>
      </c>
      <c r="J2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Occupation]],J288))))</f>
        <v>19-4012</v>
      </c>
      <c r="K289" s="2" t="str">
        <f>Table1[[#This Row],[Group Name]]</f>
        <v>Agricultural Technicians</v>
      </c>
    </row>
    <row r="290" spans="3:11" x14ac:dyDescent="0.25">
      <c r="D290" s="5" t="s">
        <v>515</v>
      </c>
      <c r="E290" s="5" t="s">
        <v>516</v>
      </c>
      <c r="F2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90" s="2" t="str">
        <f>IF(Table1[[#This Row],[Type]]="Major",Table1[[#This Row],[Major Group]],G289)</f>
        <v>19-0000</v>
      </c>
      <c r="H290" s="2" t="str">
        <f>IF(Table1[[#This Row],[Major Group]]&lt;&gt;"","n/a",IF(Table1[[#This Row],[Minor Group]]&lt;&gt;"",Table1[[#This Row],[Minor Group]],H289))</f>
        <v>19-4000</v>
      </c>
      <c r="I290" s="2" t="str">
        <f>IF(Table1[[#This Row],[Major Group]]&lt;&gt;"","n/a",IF(Table1[[#This Row],[Minor Group]]&lt;&gt;"","n/a",IF(Table1[[#This Row],[Broad Group]]&lt;&gt;"",Table1[[#This Row],[Broad Group]],I289)))</f>
        <v>19-4010</v>
      </c>
      <c r="J2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Occupation]],J289))))</f>
        <v>19-4013</v>
      </c>
      <c r="K290" s="2" t="str">
        <f>Table1[[#This Row],[Group Name]]</f>
        <v>Food Science Technicians</v>
      </c>
    </row>
    <row r="291" spans="3:11" x14ac:dyDescent="0.25">
      <c r="C291" s="1" t="s">
        <v>517</v>
      </c>
      <c r="E291" s="1" t="s">
        <v>518</v>
      </c>
      <c r="F2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91" s="2" t="str">
        <f>IF(Table1[[#This Row],[Type]]="Major",Table1[[#This Row],[Major Group]],G290)</f>
        <v>19-0000</v>
      </c>
      <c r="H291" s="2" t="str">
        <f>IF(Table1[[#This Row],[Major Group]]&lt;&gt;"","n/a",IF(Table1[[#This Row],[Minor Group]]&lt;&gt;"",Table1[[#This Row],[Minor Group]],H290))</f>
        <v>19-4000</v>
      </c>
      <c r="I291" s="2" t="str">
        <f>IF(Table1[[#This Row],[Major Group]]&lt;&gt;"","n/a",IF(Table1[[#This Row],[Minor Group]]&lt;&gt;"","n/a",IF(Table1[[#This Row],[Broad Group]]&lt;&gt;"",Table1[[#This Row],[Broad Group]],I290)))</f>
        <v>19-4020</v>
      </c>
      <c r="J2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Occupation]],J290))))</f>
        <v>n/a</v>
      </c>
      <c r="K291" s="2" t="str">
        <f>Table1[[#This Row],[Group Name]]</f>
        <v>Biological Technicians</v>
      </c>
    </row>
    <row r="292" spans="3:11" x14ac:dyDescent="0.25">
      <c r="D292" s="5" t="s">
        <v>519</v>
      </c>
      <c r="E292" s="5" t="s">
        <v>518</v>
      </c>
      <c r="F2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92" s="2" t="str">
        <f>IF(Table1[[#This Row],[Type]]="Major",Table1[[#This Row],[Major Group]],G291)</f>
        <v>19-0000</v>
      </c>
      <c r="H292" s="2" t="str">
        <f>IF(Table1[[#This Row],[Major Group]]&lt;&gt;"","n/a",IF(Table1[[#This Row],[Minor Group]]&lt;&gt;"",Table1[[#This Row],[Minor Group]],H291))</f>
        <v>19-4000</v>
      </c>
      <c r="I292" s="2" t="str">
        <f>IF(Table1[[#This Row],[Major Group]]&lt;&gt;"","n/a",IF(Table1[[#This Row],[Minor Group]]&lt;&gt;"","n/a",IF(Table1[[#This Row],[Broad Group]]&lt;&gt;"",Table1[[#This Row],[Broad Group]],I291)))</f>
        <v>19-4020</v>
      </c>
      <c r="J2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Occupation]],J291))))</f>
        <v>19-4021</v>
      </c>
      <c r="K292" s="2" t="str">
        <f>Table1[[#This Row],[Group Name]]</f>
        <v>Biological Technicians</v>
      </c>
    </row>
    <row r="293" spans="3:11" x14ac:dyDescent="0.25">
      <c r="C293" s="1" t="s">
        <v>520</v>
      </c>
      <c r="E293" s="1" t="s">
        <v>521</v>
      </c>
      <c r="F2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93" s="2" t="str">
        <f>IF(Table1[[#This Row],[Type]]="Major",Table1[[#This Row],[Major Group]],G292)</f>
        <v>19-0000</v>
      </c>
      <c r="H293" s="2" t="str">
        <f>IF(Table1[[#This Row],[Major Group]]&lt;&gt;"","n/a",IF(Table1[[#This Row],[Minor Group]]&lt;&gt;"",Table1[[#This Row],[Minor Group]],H292))</f>
        <v>19-4000</v>
      </c>
      <c r="I293" s="2" t="str">
        <f>IF(Table1[[#This Row],[Major Group]]&lt;&gt;"","n/a",IF(Table1[[#This Row],[Minor Group]]&lt;&gt;"","n/a",IF(Table1[[#This Row],[Broad Group]]&lt;&gt;"",Table1[[#This Row],[Broad Group]],I292)))</f>
        <v>19-4030</v>
      </c>
      <c r="J2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Occupation]],J292))))</f>
        <v>n/a</v>
      </c>
      <c r="K293" s="2" t="str">
        <f>Table1[[#This Row],[Group Name]]</f>
        <v>Chemical Technicians</v>
      </c>
    </row>
    <row r="294" spans="3:11" x14ac:dyDescent="0.25">
      <c r="D294" s="5" t="s">
        <v>522</v>
      </c>
      <c r="E294" s="5" t="s">
        <v>521</v>
      </c>
      <c r="F2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94" s="2" t="str">
        <f>IF(Table1[[#This Row],[Type]]="Major",Table1[[#This Row],[Major Group]],G293)</f>
        <v>19-0000</v>
      </c>
      <c r="H294" s="2" t="str">
        <f>IF(Table1[[#This Row],[Major Group]]&lt;&gt;"","n/a",IF(Table1[[#This Row],[Minor Group]]&lt;&gt;"",Table1[[#This Row],[Minor Group]],H293))</f>
        <v>19-4000</v>
      </c>
      <c r="I294" s="2" t="str">
        <f>IF(Table1[[#This Row],[Major Group]]&lt;&gt;"","n/a",IF(Table1[[#This Row],[Minor Group]]&lt;&gt;"","n/a",IF(Table1[[#This Row],[Broad Group]]&lt;&gt;"",Table1[[#This Row],[Broad Group]],I293)))</f>
        <v>19-4030</v>
      </c>
      <c r="J2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Occupation]],J293))))</f>
        <v>19-4031</v>
      </c>
      <c r="K294" s="2" t="str">
        <f>Table1[[#This Row],[Group Name]]</f>
        <v>Chemical Technicians</v>
      </c>
    </row>
    <row r="295" spans="3:11" ht="30" x14ac:dyDescent="0.25">
      <c r="C295" s="1" t="s">
        <v>523</v>
      </c>
      <c r="E295" s="1" t="s">
        <v>524</v>
      </c>
      <c r="F2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95" s="2" t="str">
        <f>IF(Table1[[#This Row],[Type]]="Major",Table1[[#This Row],[Major Group]],G294)</f>
        <v>19-0000</v>
      </c>
      <c r="H295" s="2" t="str">
        <f>IF(Table1[[#This Row],[Major Group]]&lt;&gt;"","n/a",IF(Table1[[#This Row],[Minor Group]]&lt;&gt;"",Table1[[#This Row],[Minor Group]],H294))</f>
        <v>19-4000</v>
      </c>
      <c r="I295" s="2" t="str">
        <f>IF(Table1[[#This Row],[Major Group]]&lt;&gt;"","n/a",IF(Table1[[#This Row],[Minor Group]]&lt;&gt;"","n/a",IF(Table1[[#This Row],[Broad Group]]&lt;&gt;"",Table1[[#This Row],[Broad Group]],I294)))</f>
        <v>19-4040</v>
      </c>
      <c r="J2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Occupation]],J294))))</f>
        <v>n/a</v>
      </c>
      <c r="K295" s="2" t="str">
        <f>Table1[[#This Row],[Group Name]]</f>
        <v>Environmental Science and Geoscience Technicians</v>
      </c>
    </row>
    <row r="296" spans="3:11" ht="25.5" x14ac:dyDescent="0.25">
      <c r="D296" s="5" t="s">
        <v>525</v>
      </c>
      <c r="E296" s="5" t="s">
        <v>526</v>
      </c>
      <c r="F2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96" s="2" t="str">
        <f>IF(Table1[[#This Row],[Type]]="Major",Table1[[#This Row],[Major Group]],G295)</f>
        <v>19-0000</v>
      </c>
      <c r="H296" s="2" t="str">
        <f>IF(Table1[[#This Row],[Major Group]]&lt;&gt;"","n/a",IF(Table1[[#This Row],[Minor Group]]&lt;&gt;"",Table1[[#This Row],[Minor Group]],H295))</f>
        <v>19-4000</v>
      </c>
      <c r="I296" s="2" t="str">
        <f>IF(Table1[[#This Row],[Major Group]]&lt;&gt;"","n/a",IF(Table1[[#This Row],[Minor Group]]&lt;&gt;"","n/a",IF(Table1[[#This Row],[Broad Group]]&lt;&gt;"",Table1[[#This Row],[Broad Group]],I295)))</f>
        <v>19-4040</v>
      </c>
      <c r="J2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Occupation]],J295))))</f>
        <v>19-4042</v>
      </c>
      <c r="K296" s="2" t="str">
        <f>Table1[[#This Row],[Group Name]]</f>
        <v>Environmental Science and Protection Technicians, Including Health</v>
      </c>
    </row>
    <row r="297" spans="3:11" ht="25.5" x14ac:dyDescent="0.25">
      <c r="D297" s="5" t="s">
        <v>527</v>
      </c>
      <c r="E297" s="5" t="s">
        <v>528</v>
      </c>
      <c r="F2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97" s="2" t="str">
        <f>IF(Table1[[#This Row],[Type]]="Major",Table1[[#This Row],[Major Group]],G296)</f>
        <v>19-0000</v>
      </c>
      <c r="H297" s="2" t="str">
        <f>IF(Table1[[#This Row],[Major Group]]&lt;&gt;"","n/a",IF(Table1[[#This Row],[Minor Group]]&lt;&gt;"",Table1[[#This Row],[Minor Group]],H296))</f>
        <v>19-4000</v>
      </c>
      <c r="I297" s="2" t="str">
        <f>IF(Table1[[#This Row],[Major Group]]&lt;&gt;"","n/a",IF(Table1[[#This Row],[Minor Group]]&lt;&gt;"","n/a",IF(Table1[[#This Row],[Broad Group]]&lt;&gt;"",Table1[[#This Row],[Broad Group]],I296)))</f>
        <v>19-4040</v>
      </c>
      <c r="J2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Occupation]],J296))))</f>
        <v>19-4043</v>
      </c>
      <c r="K297" s="2" t="str">
        <f>Table1[[#This Row],[Group Name]]</f>
        <v>Geological Technicians, Except Hydrologic Technicians</v>
      </c>
    </row>
    <row r="298" spans="3:11" x14ac:dyDescent="0.25">
      <c r="D298" s="5" t="s">
        <v>529</v>
      </c>
      <c r="E298" s="5" t="s">
        <v>530</v>
      </c>
      <c r="F2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298" s="2" t="str">
        <f>IF(Table1[[#This Row],[Type]]="Major",Table1[[#This Row],[Major Group]],G297)</f>
        <v>19-0000</v>
      </c>
      <c r="H298" s="2" t="str">
        <f>IF(Table1[[#This Row],[Major Group]]&lt;&gt;"","n/a",IF(Table1[[#This Row],[Minor Group]]&lt;&gt;"",Table1[[#This Row],[Minor Group]],H297))</f>
        <v>19-4000</v>
      </c>
      <c r="I298" s="2" t="str">
        <f>IF(Table1[[#This Row],[Major Group]]&lt;&gt;"","n/a",IF(Table1[[#This Row],[Minor Group]]&lt;&gt;"","n/a",IF(Table1[[#This Row],[Broad Group]]&lt;&gt;"",Table1[[#This Row],[Broad Group]],I297)))</f>
        <v>19-4040</v>
      </c>
      <c r="J2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Occupation]],J297))))</f>
        <v>19-4044</v>
      </c>
      <c r="K298" s="2" t="str">
        <f>Table1[[#This Row],[Group Name]]</f>
        <v>Hydrologic Technicians</v>
      </c>
    </row>
    <row r="299" spans="3:11" x14ac:dyDescent="0.25">
      <c r="C299" s="1" t="s">
        <v>531</v>
      </c>
      <c r="E299" s="1" t="s">
        <v>532</v>
      </c>
      <c r="F2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299" s="2" t="str">
        <f>IF(Table1[[#This Row],[Type]]="Major",Table1[[#This Row],[Major Group]],G298)</f>
        <v>19-0000</v>
      </c>
      <c r="H299" s="2" t="str">
        <f>IF(Table1[[#This Row],[Major Group]]&lt;&gt;"","n/a",IF(Table1[[#This Row],[Minor Group]]&lt;&gt;"",Table1[[#This Row],[Minor Group]],H298))</f>
        <v>19-4000</v>
      </c>
      <c r="I299" s="2" t="str">
        <f>IF(Table1[[#This Row],[Major Group]]&lt;&gt;"","n/a",IF(Table1[[#This Row],[Minor Group]]&lt;&gt;"","n/a",IF(Table1[[#This Row],[Broad Group]]&lt;&gt;"",Table1[[#This Row],[Broad Group]],I298)))</f>
        <v>19-4050</v>
      </c>
      <c r="J2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Occupation]],J298))))</f>
        <v>n/a</v>
      </c>
      <c r="K299" s="2" t="str">
        <f>Table1[[#This Row],[Group Name]]</f>
        <v>Nuclear Technicians</v>
      </c>
    </row>
    <row r="300" spans="3:11" x14ac:dyDescent="0.25">
      <c r="D300" s="5" t="s">
        <v>533</v>
      </c>
      <c r="E300" s="5" t="s">
        <v>532</v>
      </c>
      <c r="F3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00" s="2" t="str">
        <f>IF(Table1[[#This Row],[Type]]="Major",Table1[[#This Row],[Major Group]],G299)</f>
        <v>19-0000</v>
      </c>
      <c r="H300" s="2" t="str">
        <f>IF(Table1[[#This Row],[Major Group]]&lt;&gt;"","n/a",IF(Table1[[#This Row],[Minor Group]]&lt;&gt;"",Table1[[#This Row],[Minor Group]],H299))</f>
        <v>19-4000</v>
      </c>
      <c r="I300" s="2" t="str">
        <f>IF(Table1[[#This Row],[Major Group]]&lt;&gt;"","n/a",IF(Table1[[#This Row],[Minor Group]]&lt;&gt;"","n/a",IF(Table1[[#This Row],[Broad Group]]&lt;&gt;"",Table1[[#This Row],[Broad Group]],I299)))</f>
        <v>19-4050</v>
      </c>
      <c r="J3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Occupation]],J299))))</f>
        <v>19-4051</v>
      </c>
      <c r="K300" s="2" t="str">
        <f>Table1[[#This Row],[Group Name]]</f>
        <v>Nuclear Technicians</v>
      </c>
    </row>
    <row r="301" spans="3:11" x14ac:dyDescent="0.25">
      <c r="C301" s="1" t="s">
        <v>534</v>
      </c>
      <c r="E301" s="1" t="s">
        <v>535</v>
      </c>
      <c r="F3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01" s="2" t="str">
        <f>IF(Table1[[#This Row],[Type]]="Major",Table1[[#This Row],[Major Group]],G300)</f>
        <v>19-0000</v>
      </c>
      <c r="H301" s="2" t="str">
        <f>IF(Table1[[#This Row],[Major Group]]&lt;&gt;"","n/a",IF(Table1[[#This Row],[Minor Group]]&lt;&gt;"",Table1[[#This Row],[Minor Group]],H300))</f>
        <v>19-4000</v>
      </c>
      <c r="I301" s="2" t="str">
        <f>IF(Table1[[#This Row],[Major Group]]&lt;&gt;"","n/a",IF(Table1[[#This Row],[Minor Group]]&lt;&gt;"","n/a",IF(Table1[[#This Row],[Broad Group]]&lt;&gt;"",Table1[[#This Row],[Broad Group]],I300)))</f>
        <v>19-4060</v>
      </c>
      <c r="J3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Occupation]],J300))))</f>
        <v>n/a</v>
      </c>
      <c r="K301" s="2" t="str">
        <f>Table1[[#This Row],[Group Name]]</f>
        <v>Social Science Research Assistants</v>
      </c>
    </row>
    <row r="302" spans="3:11" x14ac:dyDescent="0.25">
      <c r="D302" s="5" t="s">
        <v>536</v>
      </c>
      <c r="E302" s="5" t="s">
        <v>535</v>
      </c>
      <c r="F3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02" s="2" t="str">
        <f>IF(Table1[[#This Row],[Type]]="Major",Table1[[#This Row],[Major Group]],G301)</f>
        <v>19-0000</v>
      </c>
      <c r="H302" s="2" t="str">
        <f>IF(Table1[[#This Row],[Major Group]]&lt;&gt;"","n/a",IF(Table1[[#This Row],[Minor Group]]&lt;&gt;"",Table1[[#This Row],[Minor Group]],H301))</f>
        <v>19-4000</v>
      </c>
      <c r="I302" s="2" t="str">
        <f>IF(Table1[[#This Row],[Major Group]]&lt;&gt;"","n/a",IF(Table1[[#This Row],[Minor Group]]&lt;&gt;"","n/a",IF(Table1[[#This Row],[Broad Group]]&lt;&gt;"",Table1[[#This Row],[Broad Group]],I301)))</f>
        <v>19-4060</v>
      </c>
      <c r="J3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Occupation]],J301))))</f>
        <v>19-4061</v>
      </c>
      <c r="K302" s="2" t="str">
        <f>Table1[[#This Row],[Group Name]]</f>
        <v>Social Science Research Assistants</v>
      </c>
    </row>
    <row r="303" spans="3:11" ht="30" x14ac:dyDescent="0.25">
      <c r="C303" s="1" t="s">
        <v>537</v>
      </c>
      <c r="E303" s="1" t="s">
        <v>538</v>
      </c>
      <c r="F3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03" s="2" t="str">
        <f>IF(Table1[[#This Row],[Type]]="Major",Table1[[#This Row],[Major Group]],G302)</f>
        <v>19-0000</v>
      </c>
      <c r="H303" s="2" t="str">
        <f>IF(Table1[[#This Row],[Major Group]]&lt;&gt;"","n/a",IF(Table1[[#This Row],[Minor Group]]&lt;&gt;"",Table1[[#This Row],[Minor Group]],H302))</f>
        <v>19-4000</v>
      </c>
      <c r="I303" s="2" t="str">
        <f>IF(Table1[[#This Row],[Major Group]]&lt;&gt;"","n/a",IF(Table1[[#This Row],[Minor Group]]&lt;&gt;"","n/a",IF(Table1[[#This Row],[Broad Group]]&lt;&gt;"",Table1[[#This Row],[Broad Group]],I302)))</f>
        <v>19-4070</v>
      </c>
      <c r="J3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Occupation]],J302))))</f>
        <v>n/a</v>
      </c>
      <c r="K303" s="2" t="str">
        <f>Table1[[#This Row],[Group Name]]</f>
        <v>Forest and Conservation Technicians</v>
      </c>
    </row>
    <row r="304" spans="3:11" x14ac:dyDescent="0.25">
      <c r="D304" s="5" t="s">
        <v>539</v>
      </c>
      <c r="E304" s="5" t="s">
        <v>538</v>
      </c>
      <c r="F3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04" s="2" t="str">
        <f>IF(Table1[[#This Row],[Type]]="Major",Table1[[#This Row],[Major Group]],G303)</f>
        <v>19-0000</v>
      </c>
      <c r="H304" s="2" t="str">
        <f>IF(Table1[[#This Row],[Major Group]]&lt;&gt;"","n/a",IF(Table1[[#This Row],[Minor Group]]&lt;&gt;"",Table1[[#This Row],[Minor Group]],H303))</f>
        <v>19-4000</v>
      </c>
      <c r="I304" s="2" t="str">
        <f>IF(Table1[[#This Row],[Major Group]]&lt;&gt;"","n/a",IF(Table1[[#This Row],[Minor Group]]&lt;&gt;"","n/a",IF(Table1[[#This Row],[Broad Group]]&lt;&gt;"",Table1[[#This Row],[Broad Group]],I303)))</f>
        <v>19-4070</v>
      </c>
      <c r="J3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Occupation]],J303))))</f>
        <v>19-4071</v>
      </c>
      <c r="K304" s="2" t="str">
        <f>Table1[[#This Row],[Group Name]]</f>
        <v>Forest and Conservation Technicians</v>
      </c>
    </row>
    <row r="305" spans="1:11" ht="30" x14ac:dyDescent="0.25">
      <c r="C305" s="1" t="s">
        <v>540</v>
      </c>
      <c r="E305" s="1" t="s">
        <v>541</v>
      </c>
      <c r="F3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05" s="2" t="str">
        <f>IF(Table1[[#This Row],[Type]]="Major",Table1[[#This Row],[Major Group]],G304)</f>
        <v>19-0000</v>
      </c>
      <c r="H305" s="2" t="str">
        <f>IF(Table1[[#This Row],[Major Group]]&lt;&gt;"","n/a",IF(Table1[[#This Row],[Minor Group]]&lt;&gt;"",Table1[[#This Row],[Minor Group]],H304))</f>
        <v>19-4000</v>
      </c>
      <c r="I305" s="2" t="str">
        <f>IF(Table1[[#This Row],[Major Group]]&lt;&gt;"","n/a",IF(Table1[[#This Row],[Minor Group]]&lt;&gt;"","n/a",IF(Table1[[#This Row],[Broad Group]]&lt;&gt;"",Table1[[#This Row],[Broad Group]],I304)))</f>
        <v>19-4090</v>
      </c>
      <c r="J3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Occupation]],J304))))</f>
        <v>n/a</v>
      </c>
      <c r="K305" s="2" t="str">
        <f>Table1[[#This Row],[Group Name]]</f>
        <v>Miscellaneous Life, Physical, and Social Science Technicians</v>
      </c>
    </row>
    <row r="306" spans="1:11" x14ac:dyDescent="0.25">
      <c r="D306" s="5" t="s">
        <v>542</v>
      </c>
      <c r="E306" s="5" t="s">
        <v>543</v>
      </c>
      <c r="F3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06" s="2" t="str">
        <f>IF(Table1[[#This Row],[Type]]="Major",Table1[[#This Row],[Major Group]],G305)</f>
        <v>19-0000</v>
      </c>
      <c r="H306" s="2" t="str">
        <f>IF(Table1[[#This Row],[Major Group]]&lt;&gt;"","n/a",IF(Table1[[#This Row],[Minor Group]]&lt;&gt;"",Table1[[#This Row],[Minor Group]],H305))</f>
        <v>19-4000</v>
      </c>
      <c r="I306" s="2" t="str">
        <f>IF(Table1[[#This Row],[Major Group]]&lt;&gt;"","n/a",IF(Table1[[#This Row],[Minor Group]]&lt;&gt;"","n/a",IF(Table1[[#This Row],[Broad Group]]&lt;&gt;"",Table1[[#This Row],[Broad Group]],I305)))</f>
        <v>19-4090</v>
      </c>
      <c r="J3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Occupation]],J305))))</f>
        <v>19-4092</v>
      </c>
      <c r="K306" s="2" t="str">
        <f>Table1[[#This Row],[Group Name]]</f>
        <v>Forensic Science Technicians</v>
      </c>
    </row>
    <row r="307" spans="1:11" ht="25.5" x14ac:dyDescent="0.25">
      <c r="D307" s="5" t="s">
        <v>544</v>
      </c>
      <c r="E307" s="5" t="s">
        <v>545</v>
      </c>
      <c r="F3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07" s="2" t="str">
        <f>IF(Table1[[#This Row],[Type]]="Major",Table1[[#This Row],[Major Group]],G306)</f>
        <v>19-0000</v>
      </c>
      <c r="H307" s="2" t="str">
        <f>IF(Table1[[#This Row],[Major Group]]&lt;&gt;"","n/a",IF(Table1[[#This Row],[Minor Group]]&lt;&gt;"",Table1[[#This Row],[Minor Group]],H306))</f>
        <v>19-4000</v>
      </c>
      <c r="I307" s="2" t="str">
        <f>IF(Table1[[#This Row],[Major Group]]&lt;&gt;"","n/a",IF(Table1[[#This Row],[Minor Group]]&lt;&gt;"","n/a",IF(Table1[[#This Row],[Broad Group]]&lt;&gt;"",Table1[[#This Row],[Broad Group]],I306)))</f>
        <v>19-4090</v>
      </c>
      <c r="J3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Occupation]],J306))))</f>
        <v>19-4099</v>
      </c>
      <c r="K307" s="2" t="str">
        <f>Table1[[#This Row],[Group Name]]</f>
        <v>Life, Physical, and Social Science Technicians, All Other</v>
      </c>
    </row>
    <row r="308" spans="1:11" x14ac:dyDescent="0.25">
      <c r="B308" s="3" t="s">
        <v>546</v>
      </c>
      <c r="E308" s="3" t="s">
        <v>547</v>
      </c>
      <c r="F3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08" s="2" t="str">
        <f>IF(Table1[[#This Row],[Type]]="Major",Table1[[#This Row],[Major Group]],G307)</f>
        <v>19-0000</v>
      </c>
      <c r="H308" s="2" t="str">
        <f>IF(Table1[[#This Row],[Major Group]]&lt;&gt;"","n/a",IF(Table1[[#This Row],[Minor Group]]&lt;&gt;"",Table1[[#This Row],[Minor Group]],H307))</f>
        <v>19-5000</v>
      </c>
      <c r="I308" s="2" t="str">
        <f>IF(Table1[[#This Row],[Major Group]]&lt;&gt;"","n/a",IF(Table1[[#This Row],[Minor Group]]&lt;&gt;"","n/a",IF(Table1[[#This Row],[Broad Group]]&lt;&gt;"",Table1[[#This Row],[Broad Group]],I307)))</f>
        <v>n/a</v>
      </c>
      <c r="J3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Occupation]],J307))))</f>
        <v>n/a</v>
      </c>
      <c r="K308" s="2" t="str">
        <f>Table1[[#This Row],[Group Name]]</f>
        <v>Occupational Health and Safety Specialists and Technicians</v>
      </c>
    </row>
    <row r="309" spans="1:11" ht="30" x14ac:dyDescent="0.25">
      <c r="C309" s="1" t="s">
        <v>548</v>
      </c>
      <c r="E309" s="1" t="s">
        <v>547</v>
      </c>
      <c r="F3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09" s="2" t="str">
        <f>IF(Table1[[#This Row],[Type]]="Major",Table1[[#This Row],[Major Group]],G308)</f>
        <v>19-0000</v>
      </c>
      <c r="H309" s="2" t="str">
        <f>IF(Table1[[#This Row],[Major Group]]&lt;&gt;"","n/a",IF(Table1[[#This Row],[Minor Group]]&lt;&gt;"",Table1[[#This Row],[Minor Group]],H308))</f>
        <v>19-5000</v>
      </c>
      <c r="I309" s="2" t="str">
        <f>IF(Table1[[#This Row],[Major Group]]&lt;&gt;"","n/a",IF(Table1[[#This Row],[Minor Group]]&lt;&gt;"","n/a",IF(Table1[[#This Row],[Broad Group]]&lt;&gt;"",Table1[[#This Row],[Broad Group]],I308)))</f>
        <v>19-5010</v>
      </c>
      <c r="J3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Occupation]],J308))))</f>
        <v>n/a</v>
      </c>
      <c r="K309" s="2" t="str">
        <f>Table1[[#This Row],[Group Name]]</f>
        <v>Occupational Health and Safety Specialists and Technicians</v>
      </c>
    </row>
    <row r="310" spans="1:11" ht="25.5" x14ac:dyDescent="0.25">
      <c r="D310" s="5" t="s">
        <v>549</v>
      </c>
      <c r="E310" s="5" t="s">
        <v>550</v>
      </c>
      <c r="F3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10" s="2" t="str">
        <f>IF(Table1[[#This Row],[Type]]="Major",Table1[[#This Row],[Major Group]],G309)</f>
        <v>19-0000</v>
      </c>
      <c r="H310" s="2" t="str">
        <f>IF(Table1[[#This Row],[Major Group]]&lt;&gt;"","n/a",IF(Table1[[#This Row],[Minor Group]]&lt;&gt;"",Table1[[#This Row],[Minor Group]],H309))</f>
        <v>19-5000</v>
      </c>
      <c r="I310" s="2" t="str">
        <f>IF(Table1[[#This Row],[Major Group]]&lt;&gt;"","n/a",IF(Table1[[#This Row],[Minor Group]]&lt;&gt;"","n/a",IF(Table1[[#This Row],[Broad Group]]&lt;&gt;"",Table1[[#This Row],[Broad Group]],I309)))</f>
        <v>19-5010</v>
      </c>
      <c r="J3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Occupation]],J309))))</f>
        <v>19-5011</v>
      </c>
      <c r="K310" s="2" t="str">
        <f>Table1[[#This Row],[Group Name]]</f>
        <v>Occupational Health and Safety Specialists</v>
      </c>
    </row>
    <row r="311" spans="1:11" ht="25.5" x14ac:dyDescent="0.25">
      <c r="D311" s="5" t="s">
        <v>551</v>
      </c>
      <c r="E311" s="5" t="s">
        <v>552</v>
      </c>
      <c r="F3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11" s="2" t="str">
        <f>IF(Table1[[#This Row],[Type]]="Major",Table1[[#This Row],[Major Group]],G310)</f>
        <v>19-0000</v>
      </c>
      <c r="H311" s="2" t="str">
        <f>IF(Table1[[#This Row],[Major Group]]&lt;&gt;"","n/a",IF(Table1[[#This Row],[Minor Group]]&lt;&gt;"",Table1[[#This Row],[Minor Group]],H310))</f>
        <v>19-5000</v>
      </c>
      <c r="I311" s="2" t="str">
        <f>IF(Table1[[#This Row],[Major Group]]&lt;&gt;"","n/a",IF(Table1[[#This Row],[Minor Group]]&lt;&gt;"","n/a",IF(Table1[[#This Row],[Broad Group]]&lt;&gt;"",Table1[[#This Row],[Broad Group]],I310)))</f>
        <v>19-5010</v>
      </c>
      <c r="J3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Occupation]],J310))))</f>
        <v>19-5012</v>
      </c>
      <c r="K311" s="2" t="str">
        <f>Table1[[#This Row],[Group Name]]</f>
        <v>Occupational Health and Safety Technicians</v>
      </c>
    </row>
    <row r="312" spans="1:11" ht="15.75" x14ac:dyDescent="0.25">
      <c r="A312" s="4" t="s">
        <v>553</v>
      </c>
      <c r="E312" s="4" t="s">
        <v>554</v>
      </c>
      <c r="F3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312" s="2" t="str">
        <f>IF(Table1[[#This Row],[Type]]="Major",Table1[[#This Row],[Major Group]],G311)</f>
        <v>21-0000</v>
      </c>
      <c r="H312" s="2" t="str">
        <f>IF(Table1[[#This Row],[Major Group]]&lt;&gt;"","n/a",IF(Table1[[#This Row],[Minor Group]]&lt;&gt;"",Table1[[#This Row],[Minor Group]],H311))</f>
        <v>n/a</v>
      </c>
      <c r="I312" s="2" t="str">
        <f>IF(Table1[[#This Row],[Major Group]]&lt;&gt;"","n/a",IF(Table1[[#This Row],[Minor Group]]&lt;&gt;"","n/a",IF(Table1[[#This Row],[Broad Group]]&lt;&gt;"",Table1[[#This Row],[Broad Group]],I311)))</f>
        <v>n/a</v>
      </c>
      <c r="J3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Occupation]],J311))))</f>
        <v>n/a</v>
      </c>
      <c r="K312" s="2" t="str">
        <f>Table1[[#This Row],[Group Name]]</f>
        <v>Community and Social Service Occupations</v>
      </c>
    </row>
    <row r="313" spans="1:11" x14ac:dyDescent="0.25">
      <c r="B313" s="3" t="s">
        <v>555</v>
      </c>
      <c r="E313" s="3" t="s">
        <v>556</v>
      </c>
      <c r="F3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13" s="2" t="str">
        <f>IF(Table1[[#This Row],[Type]]="Major",Table1[[#This Row],[Major Group]],G312)</f>
        <v>21-0000</v>
      </c>
      <c r="H313" s="2" t="str">
        <f>IF(Table1[[#This Row],[Major Group]]&lt;&gt;"","n/a",IF(Table1[[#This Row],[Minor Group]]&lt;&gt;"",Table1[[#This Row],[Minor Group]],H312))</f>
        <v>21-1000</v>
      </c>
      <c r="I313" s="2" t="str">
        <f>IF(Table1[[#This Row],[Major Group]]&lt;&gt;"","n/a",IF(Table1[[#This Row],[Minor Group]]&lt;&gt;"","n/a",IF(Table1[[#This Row],[Broad Group]]&lt;&gt;"",Table1[[#This Row],[Broad Group]],I312)))</f>
        <v>n/a</v>
      </c>
      <c r="J3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Occupation]],J312))))</f>
        <v>n/a</v>
      </c>
      <c r="K313" s="2" t="str">
        <f>Table1[[#This Row],[Group Name]]</f>
        <v>Counselors, Social Workers, and Other Community and Social Service Specialists</v>
      </c>
    </row>
    <row r="314" spans="1:11" x14ac:dyDescent="0.25">
      <c r="C314" s="1" t="s">
        <v>557</v>
      </c>
      <c r="E314" s="1" t="s">
        <v>558</v>
      </c>
      <c r="F3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14" s="2" t="str">
        <f>IF(Table1[[#This Row],[Type]]="Major",Table1[[#This Row],[Major Group]],G313)</f>
        <v>21-0000</v>
      </c>
      <c r="H314" s="2" t="str">
        <f>IF(Table1[[#This Row],[Major Group]]&lt;&gt;"","n/a",IF(Table1[[#This Row],[Minor Group]]&lt;&gt;"",Table1[[#This Row],[Minor Group]],H313))</f>
        <v>21-1000</v>
      </c>
      <c r="I314" s="2" t="str">
        <f>IF(Table1[[#This Row],[Major Group]]&lt;&gt;"","n/a",IF(Table1[[#This Row],[Minor Group]]&lt;&gt;"","n/a",IF(Table1[[#This Row],[Broad Group]]&lt;&gt;"",Table1[[#This Row],[Broad Group]],I313)))</f>
        <v>21-1010</v>
      </c>
      <c r="J3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Occupation]],J313))))</f>
        <v>n/a</v>
      </c>
      <c r="K314" s="2" t="str">
        <f>Table1[[#This Row],[Group Name]]</f>
        <v>Counselors</v>
      </c>
    </row>
    <row r="315" spans="1:11" ht="25.5" x14ac:dyDescent="0.25">
      <c r="D315" s="5" t="s">
        <v>559</v>
      </c>
      <c r="E315" s="5" t="s">
        <v>560</v>
      </c>
      <c r="F3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15" s="2" t="str">
        <f>IF(Table1[[#This Row],[Type]]="Major",Table1[[#This Row],[Major Group]],G314)</f>
        <v>21-0000</v>
      </c>
      <c r="H315" s="2" t="str">
        <f>IF(Table1[[#This Row],[Major Group]]&lt;&gt;"","n/a",IF(Table1[[#This Row],[Minor Group]]&lt;&gt;"",Table1[[#This Row],[Minor Group]],H314))</f>
        <v>21-1000</v>
      </c>
      <c r="I315" s="2" t="str">
        <f>IF(Table1[[#This Row],[Major Group]]&lt;&gt;"","n/a",IF(Table1[[#This Row],[Minor Group]]&lt;&gt;"","n/a",IF(Table1[[#This Row],[Broad Group]]&lt;&gt;"",Table1[[#This Row],[Broad Group]],I314)))</f>
        <v>21-1010</v>
      </c>
      <c r="J3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Occupation]],J314))))</f>
        <v>21-1011</v>
      </c>
      <c r="K315" s="2" t="str">
        <f>Table1[[#This Row],[Group Name]]</f>
        <v>Substance Abuse and Behavioral Disorder Counselors</v>
      </c>
    </row>
    <row r="316" spans="1:11" ht="25.5" x14ac:dyDescent="0.25">
      <c r="D316" s="5" t="s">
        <v>561</v>
      </c>
      <c r="E316" s="5" t="s">
        <v>562</v>
      </c>
      <c r="F3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16" s="2" t="str">
        <f>IF(Table1[[#This Row],[Type]]="Major",Table1[[#This Row],[Major Group]],G315)</f>
        <v>21-0000</v>
      </c>
      <c r="H316" s="2" t="str">
        <f>IF(Table1[[#This Row],[Major Group]]&lt;&gt;"","n/a",IF(Table1[[#This Row],[Minor Group]]&lt;&gt;"",Table1[[#This Row],[Minor Group]],H315))</f>
        <v>21-1000</v>
      </c>
      <c r="I316" s="2" t="str">
        <f>IF(Table1[[#This Row],[Major Group]]&lt;&gt;"","n/a",IF(Table1[[#This Row],[Minor Group]]&lt;&gt;"","n/a",IF(Table1[[#This Row],[Broad Group]]&lt;&gt;"",Table1[[#This Row],[Broad Group]],I315)))</f>
        <v>21-1010</v>
      </c>
      <c r="J3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Occupation]],J315))))</f>
        <v>21-1012</v>
      </c>
      <c r="K316" s="2" t="str">
        <f>Table1[[#This Row],[Group Name]]</f>
        <v>Educational, Guidance, and Career Counselors and Advisors</v>
      </c>
    </row>
    <row r="317" spans="1:11" x14ac:dyDescent="0.25">
      <c r="D317" s="5" t="s">
        <v>563</v>
      </c>
      <c r="E317" s="5" t="s">
        <v>564</v>
      </c>
      <c r="F3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17" s="2" t="str">
        <f>IF(Table1[[#This Row],[Type]]="Major",Table1[[#This Row],[Major Group]],G316)</f>
        <v>21-0000</v>
      </c>
      <c r="H317" s="2" t="str">
        <f>IF(Table1[[#This Row],[Major Group]]&lt;&gt;"","n/a",IF(Table1[[#This Row],[Minor Group]]&lt;&gt;"",Table1[[#This Row],[Minor Group]],H316))</f>
        <v>21-1000</v>
      </c>
      <c r="I317" s="2" t="str">
        <f>IF(Table1[[#This Row],[Major Group]]&lt;&gt;"","n/a",IF(Table1[[#This Row],[Minor Group]]&lt;&gt;"","n/a",IF(Table1[[#This Row],[Broad Group]]&lt;&gt;"",Table1[[#This Row],[Broad Group]],I316)))</f>
        <v>21-1010</v>
      </c>
      <c r="J3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Occupation]],J316))))</f>
        <v>21-1013</v>
      </c>
      <c r="K317" s="2" t="str">
        <f>Table1[[#This Row],[Group Name]]</f>
        <v>Marriage and Family Therapists</v>
      </c>
    </row>
    <row r="318" spans="1:11" x14ac:dyDescent="0.25">
      <c r="D318" s="5" t="s">
        <v>565</v>
      </c>
      <c r="E318" s="5" t="s">
        <v>566</v>
      </c>
      <c r="F3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18" s="2" t="str">
        <f>IF(Table1[[#This Row],[Type]]="Major",Table1[[#This Row],[Major Group]],G317)</f>
        <v>21-0000</v>
      </c>
      <c r="H318" s="2" t="str">
        <f>IF(Table1[[#This Row],[Major Group]]&lt;&gt;"","n/a",IF(Table1[[#This Row],[Minor Group]]&lt;&gt;"",Table1[[#This Row],[Minor Group]],H317))</f>
        <v>21-1000</v>
      </c>
      <c r="I318" s="2" t="str">
        <f>IF(Table1[[#This Row],[Major Group]]&lt;&gt;"","n/a",IF(Table1[[#This Row],[Minor Group]]&lt;&gt;"","n/a",IF(Table1[[#This Row],[Broad Group]]&lt;&gt;"",Table1[[#This Row],[Broad Group]],I317)))</f>
        <v>21-1010</v>
      </c>
      <c r="J3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Occupation]],J317))))</f>
        <v>21-1014</v>
      </c>
      <c r="K318" s="2" t="str">
        <f>Table1[[#This Row],[Group Name]]</f>
        <v>Mental Health Counselors</v>
      </c>
    </row>
    <row r="319" spans="1:11" x14ac:dyDescent="0.25">
      <c r="D319" s="5" t="s">
        <v>567</v>
      </c>
      <c r="E319" s="5" t="s">
        <v>568</v>
      </c>
      <c r="F3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19" s="2" t="str">
        <f>IF(Table1[[#This Row],[Type]]="Major",Table1[[#This Row],[Major Group]],G318)</f>
        <v>21-0000</v>
      </c>
      <c r="H319" s="2" t="str">
        <f>IF(Table1[[#This Row],[Major Group]]&lt;&gt;"","n/a",IF(Table1[[#This Row],[Minor Group]]&lt;&gt;"",Table1[[#This Row],[Minor Group]],H318))</f>
        <v>21-1000</v>
      </c>
      <c r="I319" s="2" t="str">
        <f>IF(Table1[[#This Row],[Major Group]]&lt;&gt;"","n/a",IF(Table1[[#This Row],[Minor Group]]&lt;&gt;"","n/a",IF(Table1[[#This Row],[Broad Group]]&lt;&gt;"",Table1[[#This Row],[Broad Group]],I318)))</f>
        <v>21-1010</v>
      </c>
      <c r="J3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Occupation]],J318))))</f>
        <v>21-1015</v>
      </c>
      <c r="K319" s="2" t="str">
        <f>Table1[[#This Row],[Group Name]]</f>
        <v>Rehabilitation Counselors</v>
      </c>
    </row>
    <row r="320" spans="1:11" x14ac:dyDescent="0.25">
      <c r="D320" s="5" t="s">
        <v>569</v>
      </c>
      <c r="E320" s="5" t="s">
        <v>570</v>
      </c>
      <c r="F3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0" s="2" t="str">
        <f>IF(Table1[[#This Row],[Type]]="Major",Table1[[#This Row],[Major Group]],G319)</f>
        <v>21-0000</v>
      </c>
      <c r="H320" s="2" t="str">
        <f>IF(Table1[[#This Row],[Major Group]]&lt;&gt;"","n/a",IF(Table1[[#This Row],[Minor Group]]&lt;&gt;"",Table1[[#This Row],[Minor Group]],H319))</f>
        <v>21-1000</v>
      </c>
      <c r="I320" s="2" t="str">
        <f>IF(Table1[[#This Row],[Major Group]]&lt;&gt;"","n/a",IF(Table1[[#This Row],[Minor Group]]&lt;&gt;"","n/a",IF(Table1[[#This Row],[Broad Group]]&lt;&gt;"",Table1[[#This Row],[Broad Group]],I319)))</f>
        <v>21-1010</v>
      </c>
      <c r="J3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Occupation]],J319))))</f>
        <v>21-1019</v>
      </c>
      <c r="K320" s="2" t="str">
        <f>Table1[[#This Row],[Group Name]]</f>
        <v>Counselors, All Other</v>
      </c>
    </row>
    <row r="321" spans="2:11" x14ac:dyDescent="0.25">
      <c r="C321" s="1" t="s">
        <v>571</v>
      </c>
      <c r="E321" s="1" t="s">
        <v>572</v>
      </c>
      <c r="F3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21" s="2" t="str">
        <f>IF(Table1[[#This Row],[Type]]="Major",Table1[[#This Row],[Major Group]],G320)</f>
        <v>21-0000</v>
      </c>
      <c r="H321" s="2" t="str">
        <f>IF(Table1[[#This Row],[Major Group]]&lt;&gt;"","n/a",IF(Table1[[#This Row],[Minor Group]]&lt;&gt;"",Table1[[#This Row],[Minor Group]],H320))</f>
        <v>21-1000</v>
      </c>
      <c r="I321" s="2" t="str">
        <f>IF(Table1[[#This Row],[Major Group]]&lt;&gt;"","n/a",IF(Table1[[#This Row],[Minor Group]]&lt;&gt;"","n/a",IF(Table1[[#This Row],[Broad Group]]&lt;&gt;"",Table1[[#This Row],[Broad Group]],I320)))</f>
        <v>21-1020</v>
      </c>
      <c r="J3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Occupation]],J320))))</f>
        <v>n/a</v>
      </c>
      <c r="K321" s="2" t="str">
        <f>Table1[[#This Row],[Group Name]]</f>
        <v>Social Workers</v>
      </c>
    </row>
    <row r="322" spans="2:11" ht="25.5" x14ac:dyDescent="0.25">
      <c r="D322" s="5" t="s">
        <v>573</v>
      </c>
      <c r="E322" s="5" t="s">
        <v>574</v>
      </c>
      <c r="F3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2" s="2" t="str">
        <f>IF(Table1[[#This Row],[Type]]="Major",Table1[[#This Row],[Major Group]],G321)</f>
        <v>21-0000</v>
      </c>
      <c r="H322" s="2" t="str">
        <f>IF(Table1[[#This Row],[Major Group]]&lt;&gt;"","n/a",IF(Table1[[#This Row],[Minor Group]]&lt;&gt;"",Table1[[#This Row],[Minor Group]],H321))</f>
        <v>21-1000</v>
      </c>
      <c r="I322" s="2" t="str">
        <f>IF(Table1[[#This Row],[Major Group]]&lt;&gt;"","n/a",IF(Table1[[#This Row],[Minor Group]]&lt;&gt;"","n/a",IF(Table1[[#This Row],[Broad Group]]&lt;&gt;"",Table1[[#This Row],[Broad Group]],I321)))</f>
        <v>21-1020</v>
      </c>
      <c r="J3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Occupation]],J321))))</f>
        <v>21-1021</v>
      </c>
      <c r="K322" s="2" t="str">
        <f>Table1[[#This Row],[Group Name]]</f>
        <v>Child, Family, and School Social Workers</v>
      </c>
    </row>
    <row r="323" spans="2:11" x14ac:dyDescent="0.25">
      <c r="D323" s="5" t="s">
        <v>575</v>
      </c>
      <c r="E323" s="5" t="s">
        <v>576</v>
      </c>
      <c r="F3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3" s="2" t="str">
        <f>IF(Table1[[#This Row],[Type]]="Major",Table1[[#This Row],[Major Group]],G322)</f>
        <v>21-0000</v>
      </c>
      <c r="H323" s="2" t="str">
        <f>IF(Table1[[#This Row],[Major Group]]&lt;&gt;"","n/a",IF(Table1[[#This Row],[Minor Group]]&lt;&gt;"",Table1[[#This Row],[Minor Group]],H322))</f>
        <v>21-1000</v>
      </c>
      <c r="I323" s="2" t="str">
        <f>IF(Table1[[#This Row],[Major Group]]&lt;&gt;"","n/a",IF(Table1[[#This Row],[Minor Group]]&lt;&gt;"","n/a",IF(Table1[[#This Row],[Broad Group]]&lt;&gt;"",Table1[[#This Row],[Broad Group]],I322)))</f>
        <v>21-1020</v>
      </c>
      <c r="J3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Occupation]],J322))))</f>
        <v>21-1022</v>
      </c>
      <c r="K323" s="2" t="str">
        <f>Table1[[#This Row],[Group Name]]</f>
        <v>Healthcare Social Workers</v>
      </c>
    </row>
    <row r="324" spans="2:11" ht="25.5" x14ac:dyDescent="0.25">
      <c r="D324" s="5" t="s">
        <v>577</v>
      </c>
      <c r="E324" s="5" t="s">
        <v>578</v>
      </c>
      <c r="F3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4" s="2" t="str">
        <f>IF(Table1[[#This Row],[Type]]="Major",Table1[[#This Row],[Major Group]],G323)</f>
        <v>21-0000</v>
      </c>
      <c r="H324" s="2" t="str">
        <f>IF(Table1[[#This Row],[Major Group]]&lt;&gt;"","n/a",IF(Table1[[#This Row],[Minor Group]]&lt;&gt;"",Table1[[#This Row],[Minor Group]],H323))</f>
        <v>21-1000</v>
      </c>
      <c r="I324" s="2" t="str">
        <f>IF(Table1[[#This Row],[Major Group]]&lt;&gt;"","n/a",IF(Table1[[#This Row],[Minor Group]]&lt;&gt;"","n/a",IF(Table1[[#This Row],[Broad Group]]&lt;&gt;"",Table1[[#This Row],[Broad Group]],I323)))</f>
        <v>21-1020</v>
      </c>
      <c r="J3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Occupation]],J323))))</f>
        <v>21-1023</v>
      </c>
      <c r="K324" s="2" t="str">
        <f>Table1[[#This Row],[Group Name]]</f>
        <v>Mental Health and Substance Abuse Social Workers</v>
      </c>
    </row>
    <row r="325" spans="2:11" x14ac:dyDescent="0.25">
      <c r="D325" s="5" t="s">
        <v>579</v>
      </c>
      <c r="E325" s="5" t="s">
        <v>580</v>
      </c>
      <c r="F3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5" s="2" t="str">
        <f>IF(Table1[[#This Row],[Type]]="Major",Table1[[#This Row],[Major Group]],G324)</f>
        <v>21-0000</v>
      </c>
      <c r="H325" s="2" t="str">
        <f>IF(Table1[[#This Row],[Major Group]]&lt;&gt;"","n/a",IF(Table1[[#This Row],[Minor Group]]&lt;&gt;"",Table1[[#This Row],[Minor Group]],H324))</f>
        <v>21-1000</v>
      </c>
      <c r="I325" s="2" t="str">
        <f>IF(Table1[[#This Row],[Major Group]]&lt;&gt;"","n/a",IF(Table1[[#This Row],[Minor Group]]&lt;&gt;"","n/a",IF(Table1[[#This Row],[Broad Group]]&lt;&gt;"",Table1[[#This Row],[Broad Group]],I324)))</f>
        <v>21-1020</v>
      </c>
      <c r="J3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Occupation]],J324))))</f>
        <v>21-1029</v>
      </c>
      <c r="K325" s="2" t="str">
        <f>Table1[[#This Row],[Group Name]]</f>
        <v>Social Workers, All Other</v>
      </c>
    </row>
    <row r="326" spans="2:11" ht="30" x14ac:dyDescent="0.25">
      <c r="C326" s="1" t="s">
        <v>581</v>
      </c>
      <c r="E326" s="1" t="s">
        <v>582</v>
      </c>
      <c r="F3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26" s="2" t="str">
        <f>IF(Table1[[#This Row],[Type]]="Major",Table1[[#This Row],[Major Group]],G325)</f>
        <v>21-0000</v>
      </c>
      <c r="H326" s="2" t="str">
        <f>IF(Table1[[#This Row],[Major Group]]&lt;&gt;"","n/a",IF(Table1[[#This Row],[Minor Group]]&lt;&gt;"",Table1[[#This Row],[Minor Group]],H325))</f>
        <v>21-1000</v>
      </c>
      <c r="I326" s="2" t="str">
        <f>IF(Table1[[#This Row],[Major Group]]&lt;&gt;"","n/a",IF(Table1[[#This Row],[Minor Group]]&lt;&gt;"","n/a",IF(Table1[[#This Row],[Broad Group]]&lt;&gt;"",Table1[[#This Row],[Broad Group]],I325)))</f>
        <v>21-1090</v>
      </c>
      <c r="J3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Occupation]],J325))))</f>
        <v>n/a</v>
      </c>
      <c r="K326" s="2" t="str">
        <f>Table1[[#This Row],[Group Name]]</f>
        <v>Miscellaneous Community and Social Service Specialists</v>
      </c>
    </row>
    <row r="327" spans="2:11" x14ac:dyDescent="0.25">
      <c r="D327" s="5" t="s">
        <v>583</v>
      </c>
      <c r="E327" s="5" t="s">
        <v>584</v>
      </c>
      <c r="F3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7" s="2" t="str">
        <f>IF(Table1[[#This Row],[Type]]="Major",Table1[[#This Row],[Major Group]],G326)</f>
        <v>21-0000</v>
      </c>
      <c r="H327" s="2" t="str">
        <f>IF(Table1[[#This Row],[Major Group]]&lt;&gt;"","n/a",IF(Table1[[#This Row],[Minor Group]]&lt;&gt;"",Table1[[#This Row],[Minor Group]],H326))</f>
        <v>21-1000</v>
      </c>
      <c r="I327" s="2" t="str">
        <f>IF(Table1[[#This Row],[Major Group]]&lt;&gt;"","n/a",IF(Table1[[#This Row],[Minor Group]]&lt;&gt;"","n/a",IF(Table1[[#This Row],[Broad Group]]&lt;&gt;"",Table1[[#This Row],[Broad Group]],I326)))</f>
        <v>21-1090</v>
      </c>
      <c r="J3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Occupation]],J326))))</f>
        <v>21-1091</v>
      </c>
      <c r="K327" s="2" t="str">
        <f>Table1[[#This Row],[Group Name]]</f>
        <v>Health Education Specialists</v>
      </c>
    </row>
    <row r="328" spans="2:11" ht="25.5" x14ac:dyDescent="0.25">
      <c r="D328" s="5" t="s">
        <v>585</v>
      </c>
      <c r="E328" s="5" t="s">
        <v>586</v>
      </c>
      <c r="F3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8" s="2" t="str">
        <f>IF(Table1[[#This Row],[Type]]="Major",Table1[[#This Row],[Major Group]],G327)</f>
        <v>21-0000</v>
      </c>
      <c r="H328" s="2" t="str">
        <f>IF(Table1[[#This Row],[Major Group]]&lt;&gt;"","n/a",IF(Table1[[#This Row],[Minor Group]]&lt;&gt;"",Table1[[#This Row],[Minor Group]],H327))</f>
        <v>21-1000</v>
      </c>
      <c r="I328" s="2" t="str">
        <f>IF(Table1[[#This Row],[Major Group]]&lt;&gt;"","n/a",IF(Table1[[#This Row],[Minor Group]]&lt;&gt;"","n/a",IF(Table1[[#This Row],[Broad Group]]&lt;&gt;"",Table1[[#This Row],[Broad Group]],I327)))</f>
        <v>21-1090</v>
      </c>
      <c r="J3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Occupation]],J327))))</f>
        <v>21-1092</v>
      </c>
      <c r="K328" s="2" t="str">
        <f>Table1[[#This Row],[Group Name]]</f>
        <v>Probation Officers and Correctional Treatment Specialists</v>
      </c>
    </row>
    <row r="329" spans="2:11" x14ac:dyDescent="0.25">
      <c r="D329" s="5" t="s">
        <v>587</v>
      </c>
      <c r="E329" s="5" t="s">
        <v>588</v>
      </c>
      <c r="F3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29" s="2" t="str">
        <f>IF(Table1[[#This Row],[Type]]="Major",Table1[[#This Row],[Major Group]],G328)</f>
        <v>21-0000</v>
      </c>
      <c r="H329" s="2" t="str">
        <f>IF(Table1[[#This Row],[Major Group]]&lt;&gt;"","n/a",IF(Table1[[#This Row],[Minor Group]]&lt;&gt;"",Table1[[#This Row],[Minor Group]],H328))</f>
        <v>21-1000</v>
      </c>
      <c r="I329" s="2" t="str">
        <f>IF(Table1[[#This Row],[Major Group]]&lt;&gt;"","n/a",IF(Table1[[#This Row],[Minor Group]]&lt;&gt;"","n/a",IF(Table1[[#This Row],[Broad Group]]&lt;&gt;"",Table1[[#This Row],[Broad Group]],I328)))</f>
        <v>21-1090</v>
      </c>
      <c r="J3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Occupation]],J328))))</f>
        <v>21-1093</v>
      </c>
      <c r="K329" s="2" t="str">
        <f>Table1[[#This Row],[Group Name]]</f>
        <v>Social and Human Service Assistants</v>
      </c>
    </row>
    <row r="330" spans="2:11" x14ac:dyDescent="0.25">
      <c r="D330" s="5" t="s">
        <v>589</v>
      </c>
      <c r="E330" s="5" t="s">
        <v>590</v>
      </c>
      <c r="F3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30" s="2" t="str">
        <f>IF(Table1[[#This Row],[Type]]="Major",Table1[[#This Row],[Major Group]],G329)</f>
        <v>21-0000</v>
      </c>
      <c r="H330" s="2" t="str">
        <f>IF(Table1[[#This Row],[Major Group]]&lt;&gt;"","n/a",IF(Table1[[#This Row],[Minor Group]]&lt;&gt;"",Table1[[#This Row],[Minor Group]],H329))</f>
        <v>21-1000</v>
      </c>
      <c r="I330" s="2" t="str">
        <f>IF(Table1[[#This Row],[Major Group]]&lt;&gt;"","n/a",IF(Table1[[#This Row],[Minor Group]]&lt;&gt;"","n/a",IF(Table1[[#This Row],[Broad Group]]&lt;&gt;"",Table1[[#This Row],[Broad Group]],I329)))</f>
        <v>21-1090</v>
      </c>
      <c r="J3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Occupation]],J329))))</f>
        <v>21-1094</v>
      </c>
      <c r="K330" s="2" t="str">
        <f>Table1[[#This Row],[Group Name]]</f>
        <v>Community Health Workers</v>
      </c>
    </row>
    <row r="331" spans="2:11" ht="25.5" x14ac:dyDescent="0.25">
      <c r="D331" s="5" t="s">
        <v>591</v>
      </c>
      <c r="E331" s="5" t="s">
        <v>592</v>
      </c>
      <c r="F3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31" s="2" t="str">
        <f>IF(Table1[[#This Row],[Type]]="Major",Table1[[#This Row],[Major Group]],G330)</f>
        <v>21-0000</v>
      </c>
      <c r="H331" s="2" t="str">
        <f>IF(Table1[[#This Row],[Major Group]]&lt;&gt;"","n/a",IF(Table1[[#This Row],[Minor Group]]&lt;&gt;"",Table1[[#This Row],[Minor Group]],H330))</f>
        <v>21-1000</v>
      </c>
      <c r="I331" s="2" t="str">
        <f>IF(Table1[[#This Row],[Major Group]]&lt;&gt;"","n/a",IF(Table1[[#This Row],[Minor Group]]&lt;&gt;"","n/a",IF(Table1[[#This Row],[Broad Group]]&lt;&gt;"",Table1[[#This Row],[Broad Group]],I330)))</f>
        <v>21-1090</v>
      </c>
      <c r="J3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Occupation]],J330))))</f>
        <v>21-1099</v>
      </c>
      <c r="K331" s="2" t="str">
        <f>Table1[[#This Row],[Group Name]]</f>
        <v>Community and Social Service Specialists, All Other</v>
      </c>
    </row>
    <row r="332" spans="2:11" x14ac:dyDescent="0.25">
      <c r="B332" s="3" t="s">
        <v>593</v>
      </c>
      <c r="E332" s="3" t="s">
        <v>594</v>
      </c>
      <c r="F3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32" s="2" t="str">
        <f>IF(Table1[[#This Row],[Type]]="Major",Table1[[#This Row],[Major Group]],G331)</f>
        <v>21-0000</v>
      </c>
      <c r="H332" s="2" t="str">
        <f>IF(Table1[[#This Row],[Major Group]]&lt;&gt;"","n/a",IF(Table1[[#This Row],[Minor Group]]&lt;&gt;"",Table1[[#This Row],[Minor Group]],H331))</f>
        <v>21-2000</v>
      </c>
      <c r="I332" s="2" t="str">
        <f>IF(Table1[[#This Row],[Major Group]]&lt;&gt;"","n/a",IF(Table1[[#This Row],[Minor Group]]&lt;&gt;"","n/a",IF(Table1[[#This Row],[Broad Group]]&lt;&gt;"",Table1[[#This Row],[Broad Group]],I331)))</f>
        <v>n/a</v>
      </c>
      <c r="J3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Occupation]],J331))))</f>
        <v>n/a</v>
      </c>
      <c r="K332" s="2" t="str">
        <f>Table1[[#This Row],[Group Name]]</f>
        <v>Religious Workers</v>
      </c>
    </row>
    <row r="333" spans="2:11" x14ac:dyDescent="0.25">
      <c r="C333" s="1" t="s">
        <v>595</v>
      </c>
      <c r="E333" s="1" t="s">
        <v>596</v>
      </c>
      <c r="F3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33" s="2" t="str">
        <f>IF(Table1[[#This Row],[Type]]="Major",Table1[[#This Row],[Major Group]],G332)</f>
        <v>21-0000</v>
      </c>
      <c r="H333" s="2" t="str">
        <f>IF(Table1[[#This Row],[Major Group]]&lt;&gt;"","n/a",IF(Table1[[#This Row],[Minor Group]]&lt;&gt;"",Table1[[#This Row],[Minor Group]],H332))</f>
        <v>21-2000</v>
      </c>
      <c r="I333" s="2" t="str">
        <f>IF(Table1[[#This Row],[Major Group]]&lt;&gt;"","n/a",IF(Table1[[#This Row],[Minor Group]]&lt;&gt;"","n/a",IF(Table1[[#This Row],[Broad Group]]&lt;&gt;"",Table1[[#This Row],[Broad Group]],I332)))</f>
        <v>21-2010</v>
      </c>
      <c r="J3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Occupation]],J332))))</f>
        <v>n/a</v>
      </c>
      <c r="K333" s="2" t="str">
        <f>Table1[[#This Row],[Group Name]]</f>
        <v>Clergy</v>
      </c>
    </row>
    <row r="334" spans="2:11" x14ac:dyDescent="0.25">
      <c r="D334" s="5" t="s">
        <v>597</v>
      </c>
      <c r="E334" s="5" t="s">
        <v>596</v>
      </c>
      <c r="F3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34" s="2" t="str">
        <f>IF(Table1[[#This Row],[Type]]="Major",Table1[[#This Row],[Major Group]],G333)</f>
        <v>21-0000</v>
      </c>
      <c r="H334" s="2" t="str">
        <f>IF(Table1[[#This Row],[Major Group]]&lt;&gt;"","n/a",IF(Table1[[#This Row],[Minor Group]]&lt;&gt;"",Table1[[#This Row],[Minor Group]],H333))</f>
        <v>21-2000</v>
      </c>
      <c r="I334" s="2" t="str">
        <f>IF(Table1[[#This Row],[Major Group]]&lt;&gt;"","n/a",IF(Table1[[#This Row],[Minor Group]]&lt;&gt;"","n/a",IF(Table1[[#This Row],[Broad Group]]&lt;&gt;"",Table1[[#This Row],[Broad Group]],I333)))</f>
        <v>21-2010</v>
      </c>
      <c r="J3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Occupation]],J333))))</f>
        <v>21-2011</v>
      </c>
      <c r="K334" s="2" t="str">
        <f>Table1[[#This Row],[Group Name]]</f>
        <v>Clergy</v>
      </c>
    </row>
    <row r="335" spans="2:11" ht="30" x14ac:dyDescent="0.25">
      <c r="C335" s="1" t="s">
        <v>598</v>
      </c>
      <c r="E335" s="1" t="s">
        <v>599</v>
      </c>
      <c r="F3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35" s="2" t="str">
        <f>IF(Table1[[#This Row],[Type]]="Major",Table1[[#This Row],[Major Group]],G334)</f>
        <v>21-0000</v>
      </c>
      <c r="H335" s="2" t="str">
        <f>IF(Table1[[#This Row],[Major Group]]&lt;&gt;"","n/a",IF(Table1[[#This Row],[Minor Group]]&lt;&gt;"",Table1[[#This Row],[Minor Group]],H334))</f>
        <v>21-2000</v>
      </c>
      <c r="I335" s="2" t="str">
        <f>IF(Table1[[#This Row],[Major Group]]&lt;&gt;"","n/a",IF(Table1[[#This Row],[Minor Group]]&lt;&gt;"","n/a",IF(Table1[[#This Row],[Broad Group]]&lt;&gt;"",Table1[[#This Row],[Broad Group]],I334)))</f>
        <v>21-2020</v>
      </c>
      <c r="J3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Occupation]],J334))))</f>
        <v>n/a</v>
      </c>
      <c r="K335" s="2" t="str">
        <f>Table1[[#This Row],[Group Name]]</f>
        <v>Directors, Religious Activities and Education</v>
      </c>
    </row>
    <row r="336" spans="2:11" ht="25.5" x14ac:dyDescent="0.25">
      <c r="D336" s="5" t="s">
        <v>600</v>
      </c>
      <c r="E336" s="5" t="s">
        <v>599</v>
      </c>
      <c r="F3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36" s="2" t="str">
        <f>IF(Table1[[#This Row],[Type]]="Major",Table1[[#This Row],[Major Group]],G335)</f>
        <v>21-0000</v>
      </c>
      <c r="H336" s="2" t="str">
        <f>IF(Table1[[#This Row],[Major Group]]&lt;&gt;"","n/a",IF(Table1[[#This Row],[Minor Group]]&lt;&gt;"",Table1[[#This Row],[Minor Group]],H335))</f>
        <v>21-2000</v>
      </c>
      <c r="I336" s="2" t="str">
        <f>IF(Table1[[#This Row],[Major Group]]&lt;&gt;"","n/a",IF(Table1[[#This Row],[Minor Group]]&lt;&gt;"","n/a",IF(Table1[[#This Row],[Broad Group]]&lt;&gt;"",Table1[[#This Row],[Broad Group]],I335)))</f>
        <v>21-2020</v>
      </c>
      <c r="J3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Occupation]],J335))))</f>
        <v>21-2021</v>
      </c>
      <c r="K336" s="2" t="str">
        <f>Table1[[#This Row],[Group Name]]</f>
        <v>Directors, Religious Activities and Education</v>
      </c>
    </row>
    <row r="337" spans="1:11" x14ac:dyDescent="0.25">
      <c r="C337" s="1" t="s">
        <v>601</v>
      </c>
      <c r="E337" s="1" t="s">
        <v>602</v>
      </c>
      <c r="F3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37" s="2" t="str">
        <f>IF(Table1[[#This Row],[Type]]="Major",Table1[[#This Row],[Major Group]],G336)</f>
        <v>21-0000</v>
      </c>
      <c r="H337" s="2" t="str">
        <f>IF(Table1[[#This Row],[Major Group]]&lt;&gt;"","n/a",IF(Table1[[#This Row],[Minor Group]]&lt;&gt;"",Table1[[#This Row],[Minor Group]],H336))</f>
        <v>21-2000</v>
      </c>
      <c r="I337" s="2" t="str">
        <f>IF(Table1[[#This Row],[Major Group]]&lt;&gt;"","n/a",IF(Table1[[#This Row],[Minor Group]]&lt;&gt;"","n/a",IF(Table1[[#This Row],[Broad Group]]&lt;&gt;"",Table1[[#This Row],[Broad Group]],I336)))</f>
        <v>21-2090</v>
      </c>
      <c r="J3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Occupation]],J336))))</f>
        <v>n/a</v>
      </c>
      <c r="K337" s="2" t="str">
        <f>Table1[[#This Row],[Group Name]]</f>
        <v>Miscellaneous Religious Workers</v>
      </c>
    </row>
    <row r="338" spans="1:11" x14ac:dyDescent="0.25">
      <c r="D338" s="5" t="s">
        <v>603</v>
      </c>
      <c r="E338" s="5" t="s">
        <v>604</v>
      </c>
      <c r="F3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38" s="2" t="str">
        <f>IF(Table1[[#This Row],[Type]]="Major",Table1[[#This Row],[Major Group]],G337)</f>
        <v>21-0000</v>
      </c>
      <c r="H338" s="2" t="str">
        <f>IF(Table1[[#This Row],[Major Group]]&lt;&gt;"","n/a",IF(Table1[[#This Row],[Minor Group]]&lt;&gt;"",Table1[[#This Row],[Minor Group]],H337))</f>
        <v>21-2000</v>
      </c>
      <c r="I338" s="2" t="str">
        <f>IF(Table1[[#This Row],[Major Group]]&lt;&gt;"","n/a",IF(Table1[[#This Row],[Minor Group]]&lt;&gt;"","n/a",IF(Table1[[#This Row],[Broad Group]]&lt;&gt;"",Table1[[#This Row],[Broad Group]],I337)))</f>
        <v>21-2090</v>
      </c>
      <c r="J3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Occupation]],J337))))</f>
        <v>21-2099</v>
      </c>
      <c r="K338" s="2" t="str">
        <f>Table1[[#This Row],[Group Name]]</f>
        <v>Religious Workers, All Other</v>
      </c>
    </row>
    <row r="339" spans="1:11" ht="15.75" x14ac:dyDescent="0.25">
      <c r="A339" s="4" t="s">
        <v>605</v>
      </c>
      <c r="E339" s="4" t="s">
        <v>606</v>
      </c>
      <c r="F3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339" s="2" t="str">
        <f>IF(Table1[[#This Row],[Type]]="Major",Table1[[#This Row],[Major Group]],G338)</f>
        <v>23-0000</v>
      </c>
      <c r="H339" s="2" t="str">
        <f>IF(Table1[[#This Row],[Major Group]]&lt;&gt;"","n/a",IF(Table1[[#This Row],[Minor Group]]&lt;&gt;"",Table1[[#This Row],[Minor Group]],H338))</f>
        <v>n/a</v>
      </c>
      <c r="I339" s="2" t="str">
        <f>IF(Table1[[#This Row],[Major Group]]&lt;&gt;"","n/a",IF(Table1[[#This Row],[Minor Group]]&lt;&gt;"","n/a",IF(Table1[[#This Row],[Broad Group]]&lt;&gt;"",Table1[[#This Row],[Broad Group]],I338)))</f>
        <v>n/a</v>
      </c>
      <c r="J3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Occupation]],J338))))</f>
        <v>n/a</v>
      </c>
      <c r="K339" s="2" t="str">
        <f>Table1[[#This Row],[Group Name]]</f>
        <v>Legal Occupations</v>
      </c>
    </row>
    <row r="340" spans="1:11" x14ac:dyDescent="0.25">
      <c r="B340" s="3" t="s">
        <v>607</v>
      </c>
      <c r="E340" s="3" t="s">
        <v>608</v>
      </c>
      <c r="F3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40" s="2" t="str">
        <f>IF(Table1[[#This Row],[Type]]="Major",Table1[[#This Row],[Major Group]],G339)</f>
        <v>23-0000</v>
      </c>
      <c r="H340" s="2" t="str">
        <f>IF(Table1[[#This Row],[Major Group]]&lt;&gt;"","n/a",IF(Table1[[#This Row],[Minor Group]]&lt;&gt;"",Table1[[#This Row],[Minor Group]],H339))</f>
        <v>23-1000</v>
      </c>
      <c r="I340" s="2" t="str">
        <f>IF(Table1[[#This Row],[Major Group]]&lt;&gt;"","n/a",IF(Table1[[#This Row],[Minor Group]]&lt;&gt;"","n/a",IF(Table1[[#This Row],[Broad Group]]&lt;&gt;"",Table1[[#This Row],[Broad Group]],I339)))</f>
        <v>n/a</v>
      </c>
      <c r="J3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Occupation]],J339))))</f>
        <v>n/a</v>
      </c>
      <c r="K340" s="2" t="str">
        <f>Table1[[#This Row],[Group Name]]</f>
        <v>Lawyers, Judges, and Related Workers</v>
      </c>
    </row>
    <row r="341" spans="1:11" x14ac:dyDescent="0.25">
      <c r="C341" s="1" t="s">
        <v>609</v>
      </c>
      <c r="E341" s="1" t="s">
        <v>610</v>
      </c>
      <c r="F3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41" s="2" t="str">
        <f>IF(Table1[[#This Row],[Type]]="Major",Table1[[#This Row],[Major Group]],G340)</f>
        <v>23-0000</v>
      </c>
      <c r="H341" s="2" t="str">
        <f>IF(Table1[[#This Row],[Major Group]]&lt;&gt;"","n/a",IF(Table1[[#This Row],[Minor Group]]&lt;&gt;"",Table1[[#This Row],[Minor Group]],H340))</f>
        <v>23-1000</v>
      </c>
      <c r="I341" s="2" t="str">
        <f>IF(Table1[[#This Row],[Major Group]]&lt;&gt;"","n/a",IF(Table1[[#This Row],[Minor Group]]&lt;&gt;"","n/a",IF(Table1[[#This Row],[Broad Group]]&lt;&gt;"",Table1[[#This Row],[Broad Group]],I340)))</f>
        <v>23-1010</v>
      </c>
      <c r="J3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Occupation]],J340))))</f>
        <v>n/a</v>
      </c>
      <c r="K341" s="2" t="str">
        <f>Table1[[#This Row],[Group Name]]</f>
        <v>Lawyers and Judicial Law Clerks</v>
      </c>
    </row>
    <row r="342" spans="1:11" x14ac:dyDescent="0.25">
      <c r="D342" s="5" t="s">
        <v>611</v>
      </c>
      <c r="E342" s="5" t="s">
        <v>612</v>
      </c>
      <c r="F3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42" s="2" t="str">
        <f>IF(Table1[[#This Row],[Type]]="Major",Table1[[#This Row],[Major Group]],G341)</f>
        <v>23-0000</v>
      </c>
      <c r="H342" s="2" t="str">
        <f>IF(Table1[[#This Row],[Major Group]]&lt;&gt;"","n/a",IF(Table1[[#This Row],[Minor Group]]&lt;&gt;"",Table1[[#This Row],[Minor Group]],H341))</f>
        <v>23-1000</v>
      </c>
      <c r="I342" s="2" t="str">
        <f>IF(Table1[[#This Row],[Major Group]]&lt;&gt;"","n/a",IF(Table1[[#This Row],[Minor Group]]&lt;&gt;"","n/a",IF(Table1[[#This Row],[Broad Group]]&lt;&gt;"",Table1[[#This Row],[Broad Group]],I341)))</f>
        <v>23-1010</v>
      </c>
      <c r="J3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Occupation]],J341))))</f>
        <v>23-1011</v>
      </c>
      <c r="K342" s="2" t="str">
        <f>Table1[[#This Row],[Group Name]]</f>
        <v>Lawyers</v>
      </c>
    </row>
    <row r="343" spans="1:11" x14ac:dyDescent="0.25">
      <c r="D343" s="5" t="s">
        <v>613</v>
      </c>
      <c r="E343" s="5" t="s">
        <v>614</v>
      </c>
      <c r="F3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43" s="2" t="str">
        <f>IF(Table1[[#This Row],[Type]]="Major",Table1[[#This Row],[Major Group]],G342)</f>
        <v>23-0000</v>
      </c>
      <c r="H343" s="2" t="str">
        <f>IF(Table1[[#This Row],[Major Group]]&lt;&gt;"","n/a",IF(Table1[[#This Row],[Minor Group]]&lt;&gt;"",Table1[[#This Row],[Minor Group]],H342))</f>
        <v>23-1000</v>
      </c>
      <c r="I343" s="2" t="str">
        <f>IF(Table1[[#This Row],[Major Group]]&lt;&gt;"","n/a",IF(Table1[[#This Row],[Minor Group]]&lt;&gt;"","n/a",IF(Table1[[#This Row],[Broad Group]]&lt;&gt;"",Table1[[#This Row],[Broad Group]],I342)))</f>
        <v>23-1010</v>
      </c>
      <c r="J3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Occupation]],J342))))</f>
        <v>23-1012</v>
      </c>
      <c r="K343" s="2" t="str">
        <f>Table1[[#This Row],[Group Name]]</f>
        <v>Judicial Law Clerks</v>
      </c>
    </row>
    <row r="344" spans="1:11" ht="30" x14ac:dyDescent="0.25">
      <c r="C344" s="1" t="s">
        <v>615</v>
      </c>
      <c r="E344" s="1" t="s">
        <v>616</v>
      </c>
      <c r="F3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44" s="2" t="str">
        <f>IF(Table1[[#This Row],[Type]]="Major",Table1[[#This Row],[Major Group]],G343)</f>
        <v>23-0000</v>
      </c>
      <c r="H344" s="2" t="str">
        <f>IF(Table1[[#This Row],[Major Group]]&lt;&gt;"","n/a",IF(Table1[[#This Row],[Minor Group]]&lt;&gt;"",Table1[[#This Row],[Minor Group]],H343))</f>
        <v>23-1000</v>
      </c>
      <c r="I344" s="2" t="str">
        <f>IF(Table1[[#This Row],[Major Group]]&lt;&gt;"","n/a",IF(Table1[[#This Row],[Minor Group]]&lt;&gt;"","n/a",IF(Table1[[#This Row],[Broad Group]]&lt;&gt;"",Table1[[#This Row],[Broad Group]],I343)))</f>
        <v>23-1020</v>
      </c>
      <c r="J3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Occupation]],J343))))</f>
        <v>n/a</v>
      </c>
      <c r="K344" s="2" t="str">
        <f>Table1[[#This Row],[Group Name]]</f>
        <v>Judges, Magistrates, and Other Judicial Workers</v>
      </c>
    </row>
    <row r="345" spans="1:11" ht="25.5" x14ac:dyDescent="0.25">
      <c r="D345" s="5" t="s">
        <v>617</v>
      </c>
      <c r="E345" s="5" t="s">
        <v>618</v>
      </c>
      <c r="F3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45" s="2" t="str">
        <f>IF(Table1[[#This Row],[Type]]="Major",Table1[[#This Row],[Major Group]],G344)</f>
        <v>23-0000</v>
      </c>
      <c r="H345" s="2" t="str">
        <f>IF(Table1[[#This Row],[Major Group]]&lt;&gt;"","n/a",IF(Table1[[#This Row],[Minor Group]]&lt;&gt;"",Table1[[#This Row],[Minor Group]],H344))</f>
        <v>23-1000</v>
      </c>
      <c r="I345" s="2" t="str">
        <f>IF(Table1[[#This Row],[Major Group]]&lt;&gt;"","n/a",IF(Table1[[#This Row],[Minor Group]]&lt;&gt;"","n/a",IF(Table1[[#This Row],[Broad Group]]&lt;&gt;"",Table1[[#This Row],[Broad Group]],I344)))</f>
        <v>23-1020</v>
      </c>
      <c r="J3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Occupation]],J344))))</f>
        <v>23-1021</v>
      </c>
      <c r="K345" s="2" t="str">
        <f>Table1[[#This Row],[Group Name]]</f>
        <v>Administrative Law Judges, Adjudicators, and Hearing Officers</v>
      </c>
    </row>
    <row r="346" spans="1:11" ht="25.5" x14ac:dyDescent="0.25">
      <c r="D346" s="5" t="s">
        <v>619</v>
      </c>
      <c r="E346" s="5" t="s">
        <v>620</v>
      </c>
      <c r="F3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46" s="2" t="str">
        <f>IF(Table1[[#This Row],[Type]]="Major",Table1[[#This Row],[Major Group]],G345)</f>
        <v>23-0000</v>
      </c>
      <c r="H346" s="2" t="str">
        <f>IF(Table1[[#This Row],[Major Group]]&lt;&gt;"","n/a",IF(Table1[[#This Row],[Minor Group]]&lt;&gt;"",Table1[[#This Row],[Minor Group]],H345))</f>
        <v>23-1000</v>
      </c>
      <c r="I346" s="2" t="str">
        <f>IF(Table1[[#This Row],[Major Group]]&lt;&gt;"","n/a",IF(Table1[[#This Row],[Minor Group]]&lt;&gt;"","n/a",IF(Table1[[#This Row],[Broad Group]]&lt;&gt;"",Table1[[#This Row],[Broad Group]],I345)))</f>
        <v>23-1020</v>
      </c>
      <c r="J3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Occupation]],J345))))</f>
        <v>23-1022</v>
      </c>
      <c r="K346" s="2" t="str">
        <f>Table1[[#This Row],[Group Name]]</f>
        <v>Arbitrators, Mediators, and Conciliators</v>
      </c>
    </row>
    <row r="347" spans="1:11" ht="25.5" x14ac:dyDescent="0.25">
      <c r="D347" s="5" t="s">
        <v>621</v>
      </c>
      <c r="E347" s="5" t="s">
        <v>622</v>
      </c>
      <c r="F3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47" s="2" t="str">
        <f>IF(Table1[[#This Row],[Type]]="Major",Table1[[#This Row],[Major Group]],G346)</f>
        <v>23-0000</v>
      </c>
      <c r="H347" s="2" t="str">
        <f>IF(Table1[[#This Row],[Major Group]]&lt;&gt;"","n/a",IF(Table1[[#This Row],[Minor Group]]&lt;&gt;"",Table1[[#This Row],[Minor Group]],H346))</f>
        <v>23-1000</v>
      </c>
      <c r="I347" s="2" t="str">
        <f>IF(Table1[[#This Row],[Major Group]]&lt;&gt;"","n/a",IF(Table1[[#This Row],[Minor Group]]&lt;&gt;"","n/a",IF(Table1[[#This Row],[Broad Group]]&lt;&gt;"",Table1[[#This Row],[Broad Group]],I346)))</f>
        <v>23-1020</v>
      </c>
      <c r="J3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Occupation]],J346))))</f>
        <v>23-1023</v>
      </c>
      <c r="K347" s="2" t="str">
        <f>Table1[[#This Row],[Group Name]]</f>
        <v>Judges, Magistrate Judges, and Magistrates</v>
      </c>
    </row>
    <row r="348" spans="1:11" x14ac:dyDescent="0.25">
      <c r="B348" s="3" t="s">
        <v>623</v>
      </c>
      <c r="E348" s="3" t="s">
        <v>624</v>
      </c>
      <c r="F3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48" s="2" t="str">
        <f>IF(Table1[[#This Row],[Type]]="Major",Table1[[#This Row],[Major Group]],G347)</f>
        <v>23-0000</v>
      </c>
      <c r="H348" s="2" t="str">
        <f>IF(Table1[[#This Row],[Major Group]]&lt;&gt;"","n/a",IF(Table1[[#This Row],[Minor Group]]&lt;&gt;"",Table1[[#This Row],[Minor Group]],H347))</f>
        <v>23-2000</v>
      </c>
      <c r="I348" s="2" t="str">
        <f>IF(Table1[[#This Row],[Major Group]]&lt;&gt;"","n/a",IF(Table1[[#This Row],[Minor Group]]&lt;&gt;"","n/a",IF(Table1[[#This Row],[Broad Group]]&lt;&gt;"",Table1[[#This Row],[Broad Group]],I347)))</f>
        <v>n/a</v>
      </c>
      <c r="J3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Occupation]],J347))))</f>
        <v>n/a</v>
      </c>
      <c r="K348" s="2" t="str">
        <f>Table1[[#This Row],[Group Name]]</f>
        <v>Legal Support Workers</v>
      </c>
    </row>
    <row r="349" spans="1:11" x14ac:dyDescent="0.25">
      <c r="C349" s="1" t="s">
        <v>625</v>
      </c>
      <c r="E349" s="1" t="s">
        <v>626</v>
      </c>
      <c r="F3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49" s="2" t="str">
        <f>IF(Table1[[#This Row],[Type]]="Major",Table1[[#This Row],[Major Group]],G348)</f>
        <v>23-0000</v>
      </c>
      <c r="H349" s="2" t="str">
        <f>IF(Table1[[#This Row],[Major Group]]&lt;&gt;"","n/a",IF(Table1[[#This Row],[Minor Group]]&lt;&gt;"",Table1[[#This Row],[Minor Group]],H348))</f>
        <v>23-2000</v>
      </c>
      <c r="I349" s="2" t="str">
        <f>IF(Table1[[#This Row],[Major Group]]&lt;&gt;"","n/a",IF(Table1[[#This Row],[Minor Group]]&lt;&gt;"","n/a",IF(Table1[[#This Row],[Broad Group]]&lt;&gt;"",Table1[[#This Row],[Broad Group]],I348)))</f>
        <v>23-2010</v>
      </c>
      <c r="J3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Occupation]],J348))))</f>
        <v>n/a</v>
      </c>
      <c r="K349" s="2" t="str">
        <f>Table1[[#This Row],[Group Name]]</f>
        <v>Paralegals and Legal Assistants</v>
      </c>
    </row>
    <row r="350" spans="1:11" x14ac:dyDescent="0.25">
      <c r="D350" s="5" t="s">
        <v>627</v>
      </c>
      <c r="E350" s="5" t="s">
        <v>626</v>
      </c>
      <c r="F3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50" s="2" t="str">
        <f>IF(Table1[[#This Row],[Type]]="Major",Table1[[#This Row],[Major Group]],G349)</f>
        <v>23-0000</v>
      </c>
      <c r="H350" s="2" t="str">
        <f>IF(Table1[[#This Row],[Major Group]]&lt;&gt;"","n/a",IF(Table1[[#This Row],[Minor Group]]&lt;&gt;"",Table1[[#This Row],[Minor Group]],H349))</f>
        <v>23-2000</v>
      </c>
      <c r="I350" s="2" t="str">
        <f>IF(Table1[[#This Row],[Major Group]]&lt;&gt;"","n/a",IF(Table1[[#This Row],[Minor Group]]&lt;&gt;"","n/a",IF(Table1[[#This Row],[Broad Group]]&lt;&gt;"",Table1[[#This Row],[Broad Group]],I349)))</f>
        <v>23-2010</v>
      </c>
      <c r="J3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Occupation]],J349))))</f>
        <v>23-2011</v>
      </c>
      <c r="K350" s="2" t="str">
        <f>Table1[[#This Row],[Group Name]]</f>
        <v>Paralegals and Legal Assistants</v>
      </c>
    </row>
    <row r="351" spans="1:11" ht="30" x14ac:dyDescent="0.25">
      <c r="C351" s="1" t="s">
        <v>628</v>
      </c>
      <c r="E351" s="1" t="s">
        <v>629</v>
      </c>
      <c r="F3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51" s="2" t="str">
        <f>IF(Table1[[#This Row],[Type]]="Major",Table1[[#This Row],[Major Group]],G350)</f>
        <v>23-0000</v>
      </c>
      <c r="H351" s="2" t="str">
        <f>IF(Table1[[#This Row],[Major Group]]&lt;&gt;"","n/a",IF(Table1[[#This Row],[Minor Group]]&lt;&gt;"",Table1[[#This Row],[Minor Group]],H350))</f>
        <v>23-2000</v>
      </c>
      <c r="I351" s="2" t="str">
        <f>IF(Table1[[#This Row],[Major Group]]&lt;&gt;"","n/a",IF(Table1[[#This Row],[Minor Group]]&lt;&gt;"","n/a",IF(Table1[[#This Row],[Broad Group]]&lt;&gt;"",Table1[[#This Row],[Broad Group]],I350)))</f>
        <v>23-2090</v>
      </c>
      <c r="J3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Occupation]],J350))))</f>
        <v>n/a</v>
      </c>
      <c r="K351" s="2" t="str">
        <f>Table1[[#This Row],[Group Name]]</f>
        <v>Miscellaneous Legal Support Workers</v>
      </c>
    </row>
    <row r="352" spans="1:11" ht="25.5" x14ac:dyDescent="0.25">
      <c r="D352" s="5" t="s">
        <v>630</v>
      </c>
      <c r="E352" s="5" t="s">
        <v>631</v>
      </c>
      <c r="F3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52" s="2" t="str">
        <f>IF(Table1[[#This Row],[Type]]="Major",Table1[[#This Row],[Major Group]],G351)</f>
        <v>23-0000</v>
      </c>
      <c r="H352" s="2" t="str">
        <f>IF(Table1[[#This Row],[Major Group]]&lt;&gt;"","n/a",IF(Table1[[#This Row],[Minor Group]]&lt;&gt;"",Table1[[#This Row],[Minor Group]],H351))</f>
        <v>23-2000</v>
      </c>
      <c r="I352" s="2" t="str">
        <f>IF(Table1[[#This Row],[Major Group]]&lt;&gt;"","n/a",IF(Table1[[#This Row],[Minor Group]]&lt;&gt;"","n/a",IF(Table1[[#This Row],[Broad Group]]&lt;&gt;"",Table1[[#This Row],[Broad Group]],I351)))</f>
        <v>23-2090</v>
      </c>
      <c r="J3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Occupation]],J351))))</f>
        <v>23-2093</v>
      </c>
      <c r="K352" s="2" t="str">
        <f>Table1[[#This Row],[Group Name]]</f>
        <v>Title Examiners, Abstractors, and Searchers</v>
      </c>
    </row>
    <row r="353" spans="1:11" x14ac:dyDescent="0.25">
      <c r="D353" s="5" t="s">
        <v>632</v>
      </c>
      <c r="E353" s="5" t="s">
        <v>633</v>
      </c>
      <c r="F3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53" s="2" t="str">
        <f>IF(Table1[[#This Row],[Type]]="Major",Table1[[#This Row],[Major Group]],G352)</f>
        <v>23-0000</v>
      </c>
      <c r="H353" s="2" t="str">
        <f>IF(Table1[[#This Row],[Major Group]]&lt;&gt;"","n/a",IF(Table1[[#This Row],[Minor Group]]&lt;&gt;"",Table1[[#This Row],[Minor Group]],H352))</f>
        <v>23-2000</v>
      </c>
      <c r="I353" s="2" t="str">
        <f>IF(Table1[[#This Row],[Major Group]]&lt;&gt;"","n/a",IF(Table1[[#This Row],[Minor Group]]&lt;&gt;"","n/a",IF(Table1[[#This Row],[Broad Group]]&lt;&gt;"",Table1[[#This Row],[Broad Group]],I352)))</f>
        <v>23-2090</v>
      </c>
      <c r="J3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Occupation]],J352))))</f>
        <v>23-2099</v>
      </c>
      <c r="K353" s="2" t="str">
        <f>Table1[[#This Row],[Group Name]]</f>
        <v>Legal Support Workers, All Other</v>
      </c>
    </row>
    <row r="354" spans="1:11" ht="15.75" x14ac:dyDescent="0.25">
      <c r="A354" s="4" t="s">
        <v>634</v>
      </c>
      <c r="E354" s="4" t="s">
        <v>635</v>
      </c>
      <c r="F3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354" s="2" t="str">
        <f>IF(Table1[[#This Row],[Type]]="Major",Table1[[#This Row],[Major Group]],G353)</f>
        <v>25-0000</v>
      </c>
      <c r="H354" s="2" t="str">
        <f>IF(Table1[[#This Row],[Major Group]]&lt;&gt;"","n/a",IF(Table1[[#This Row],[Minor Group]]&lt;&gt;"",Table1[[#This Row],[Minor Group]],H353))</f>
        <v>n/a</v>
      </c>
      <c r="I354" s="2" t="str">
        <f>IF(Table1[[#This Row],[Major Group]]&lt;&gt;"","n/a",IF(Table1[[#This Row],[Minor Group]]&lt;&gt;"","n/a",IF(Table1[[#This Row],[Broad Group]]&lt;&gt;"",Table1[[#This Row],[Broad Group]],I353)))</f>
        <v>n/a</v>
      </c>
      <c r="J3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Occupation]],J353))))</f>
        <v>n/a</v>
      </c>
      <c r="K354" s="2" t="str">
        <f>Table1[[#This Row],[Group Name]]</f>
        <v>Educational Instruction and Library Occupations</v>
      </c>
    </row>
    <row r="355" spans="1:11" x14ac:dyDescent="0.25">
      <c r="B355" s="3" t="s">
        <v>636</v>
      </c>
      <c r="E355" s="3" t="s">
        <v>637</v>
      </c>
      <c r="F3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355" s="2" t="str">
        <f>IF(Table1[[#This Row],[Type]]="Major",Table1[[#This Row],[Major Group]],G354)</f>
        <v>25-0000</v>
      </c>
      <c r="H355" s="2" t="str">
        <f>IF(Table1[[#This Row],[Major Group]]&lt;&gt;"","n/a",IF(Table1[[#This Row],[Minor Group]]&lt;&gt;"",Table1[[#This Row],[Minor Group]],H354))</f>
        <v>25-1000</v>
      </c>
      <c r="I355" s="2" t="str">
        <f>IF(Table1[[#This Row],[Major Group]]&lt;&gt;"","n/a",IF(Table1[[#This Row],[Minor Group]]&lt;&gt;"","n/a",IF(Table1[[#This Row],[Broad Group]]&lt;&gt;"",Table1[[#This Row],[Broad Group]],I354)))</f>
        <v>n/a</v>
      </c>
      <c r="J3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Occupation]],J354))))</f>
        <v>n/a</v>
      </c>
      <c r="K355" s="2" t="str">
        <f>Table1[[#This Row],[Group Name]]</f>
        <v>Postsecondary Teachers</v>
      </c>
    </row>
    <row r="356" spans="1:11" x14ac:dyDescent="0.25">
      <c r="C356" s="1" t="s">
        <v>638</v>
      </c>
      <c r="E356" s="1" t="s">
        <v>639</v>
      </c>
      <c r="F3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56" s="2" t="str">
        <f>IF(Table1[[#This Row],[Type]]="Major",Table1[[#This Row],[Major Group]],G355)</f>
        <v>25-0000</v>
      </c>
      <c r="H356" s="2" t="str">
        <f>IF(Table1[[#This Row],[Major Group]]&lt;&gt;"","n/a",IF(Table1[[#This Row],[Minor Group]]&lt;&gt;"",Table1[[#This Row],[Minor Group]],H355))</f>
        <v>25-1000</v>
      </c>
      <c r="I356" s="2" t="str">
        <f>IF(Table1[[#This Row],[Major Group]]&lt;&gt;"","n/a",IF(Table1[[#This Row],[Minor Group]]&lt;&gt;"","n/a",IF(Table1[[#This Row],[Broad Group]]&lt;&gt;"",Table1[[#This Row],[Broad Group]],I355)))</f>
        <v>25-1010</v>
      </c>
      <c r="J3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Occupation]],J355))))</f>
        <v>n/a</v>
      </c>
      <c r="K356" s="2" t="str">
        <f>Table1[[#This Row],[Group Name]]</f>
        <v>Business Teachers, Postsecondary</v>
      </c>
    </row>
    <row r="357" spans="1:11" x14ac:dyDescent="0.25">
      <c r="D357" s="5" t="s">
        <v>640</v>
      </c>
      <c r="E357" s="5" t="s">
        <v>639</v>
      </c>
      <c r="F3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57" s="2" t="str">
        <f>IF(Table1[[#This Row],[Type]]="Major",Table1[[#This Row],[Major Group]],G356)</f>
        <v>25-0000</v>
      </c>
      <c r="H357" s="2" t="str">
        <f>IF(Table1[[#This Row],[Major Group]]&lt;&gt;"","n/a",IF(Table1[[#This Row],[Minor Group]]&lt;&gt;"",Table1[[#This Row],[Minor Group]],H356))</f>
        <v>25-1000</v>
      </c>
      <c r="I357" s="2" t="str">
        <f>IF(Table1[[#This Row],[Major Group]]&lt;&gt;"","n/a",IF(Table1[[#This Row],[Minor Group]]&lt;&gt;"","n/a",IF(Table1[[#This Row],[Broad Group]]&lt;&gt;"",Table1[[#This Row],[Broad Group]],I356)))</f>
        <v>25-1010</v>
      </c>
      <c r="J3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Occupation]],J356))))</f>
        <v>25-1011</v>
      </c>
      <c r="K357" s="2" t="str">
        <f>Table1[[#This Row],[Group Name]]</f>
        <v>Business Teachers, Postsecondary</v>
      </c>
    </row>
    <row r="358" spans="1:11" ht="30" x14ac:dyDescent="0.25">
      <c r="C358" s="1" t="s">
        <v>641</v>
      </c>
      <c r="E358" s="1" t="s">
        <v>642</v>
      </c>
      <c r="F3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58" s="2" t="str">
        <f>IF(Table1[[#This Row],[Type]]="Major",Table1[[#This Row],[Major Group]],G357)</f>
        <v>25-0000</v>
      </c>
      <c r="H358" s="2" t="str">
        <f>IF(Table1[[#This Row],[Major Group]]&lt;&gt;"","n/a",IF(Table1[[#This Row],[Minor Group]]&lt;&gt;"",Table1[[#This Row],[Minor Group]],H357))</f>
        <v>25-1000</v>
      </c>
      <c r="I358" s="2" t="str">
        <f>IF(Table1[[#This Row],[Major Group]]&lt;&gt;"","n/a",IF(Table1[[#This Row],[Minor Group]]&lt;&gt;"","n/a",IF(Table1[[#This Row],[Broad Group]]&lt;&gt;"",Table1[[#This Row],[Broad Group]],I357)))</f>
        <v>25-1020</v>
      </c>
      <c r="J3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Occupation]],J357))))</f>
        <v>n/a</v>
      </c>
      <c r="K358" s="2" t="str">
        <f>Table1[[#This Row],[Group Name]]</f>
        <v>Math and Computer Science Teachers, Postsecondary</v>
      </c>
    </row>
    <row r="359" spans="1:11" ht="25.5" x14ac:dyDescent="0.25">
      <c r="D359" s="5" t="s">
        <v>643</v>
      </c>
      <c r="E359" s="5" t="s">
        <v>644</v>
      </c>
      <c r="F3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59" s="2" t="str">
        <f>IF(Table1[[#This Row],[Type]]="Major",Table1[[#This Row],[Major Group]],G358)</f>
        <v>25-0000</v>
      </c>
      <c r="H359" s="2" t="str">
        <f>IF(Table1[[#This Row],[Major Group]]&lt;&gt;"","n/a",IF(Table1[[#This Row],[Minor Group]]&lt;&gt;"",Table1[[#This Row],[Minor Group]],H358))</f>
        <v>25-1000</v>
      </c>
      <c r="I359" s="2" t="str">
        <f>IF(Table1[[#This Row],[Major Group]]&lt;&gt;"","n/a",IF(Table1[[#This Row],[Minor Group]]&lt;&gt;"","n/a",IF(Table1[[#This Row],[Broad Group]]&lt;&gt;"",Table1[[#This Row],[Broad Group]],I358)))</f>
        <v>25-1020</v>
      </c>
      <c r="J3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Occupation]],J358))))</f>
        <v>25-1021</v>
      </c>
      <c r="K359" s="2" t="str">
        <f>Table1[[#This Row],[Group Name]]</f>
        <v>Computer Science Teachers, Postsecondary</v>
      </c>
    </row>
    <row r="360" spans="1:11" ht="25.5" x14ac:dyDescent="0.25">
      <c r="D360" s="5" t="s">
        <v>645</v>
      </c>
      <c r="E360" s="5" t="s">
        <v>646</v>
      </c>
      <c r="F3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0" s="2" t="str">
        <f>IF(Table1[[#This Row],[Type]]="Major",Table1[[#This Row],[Major Group]],G359)</f>
        <v>25-0000</v>
      </c>
      <c r="H360" s="2" t="str">
        <f>IF(Table1[[#This Row],[Major Group]]&lt;&gt;"","n/a",IF(Table1[[#This Row],[Minor Group]]&lt;&gt;"",Table1[[#This Row],[Minor Group]],H359))</f>
        <v>25-1000</v>
      </c>
      <c r="I360" s="2" t="str">
        <f>IF(Table1[[#This Row],[Major Group]]&lt;&gt;"","n/a",IF(Table1[[#This Row],[Minor Group]]&lt;&gt;"","n/a",IF(Table1[[#This Row],[Broad Group]]&lt;&gt;"",Table1[[#This Row],[Broad Group]],I359)))</f>
        <v>25-1020</v>
      </c>
      <c r="J3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Occupation]],J359))))</f>
        <v>25-1022</v>
      </c>
      <c r="K360" s="2" t="str">
        <f>Table1[[#This Row],[Group Name]]</f>
        <v>Mathematical Science Teachers, Postsecondary</v>
      </c>
    </row>
    <row r="361" spans="1:11" ht="30" x14ac:dyDescent="0.25">
      <c r="C361" s="1" t="s">
        <v>647</v>
      </c>
      <c r="E361" s="1" t="s">
        <v>648</v>
      </c>
      <c r="F3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61" s="2" t="str">
        <f>IF(Table1[[#This Row],[Type]]="Major",Table1[[#This Row],[Major Group]],G360)</f>
        <v>25-0000</v>
      </c>
      <c r="H361" s="2" t="str">
        <f>IF(Table1[[#This Row],[Major Group]]&lt;&gt;"","n/a",IF(Table1[[#This Row],[Minor Group]]&lt;&gt;"",Table1[[#This Row],[Minor Group]],H360))</f>
        <v>25-1000</v>
      </c>
      <c r="I361" s="2" t="str">
        <f>IF(Table1[[#This Row],[Major Group]]&lt;&gt;"","n/a",IF(Table1[[#This Row],[Minor Group]]&lt;&gt;"","n/a",IF(Table1[[#This Row],[Broad Group]]&lt;&gt;"",Table1[[#This Row],[Broad Group]],I360)))</f>
        <v>25-1030</v>
      </c>
      <c r="J3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Occupation]],J360))))</f>
        <v>n/a</v>
      </c>
      <c r="K361" s="2" t="str">
        <f>Table1[[#This Row],[Group Name]]</f>
        <v>Engineering and Architecture Teachers, Postsecondary</v>
      </c>
    </row>
    <row r="362" spans="1:11" x14ac:dyDescent="0.25">
      <c r="D362" s="5" t="s">
        <v>649</v>
      </c>
      <c r="E362" s="5" t="s">
        <v>650</v>
      </c>
      <c r="F3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2" s="2" t="str">
        <f>IF(Table1[[#This Row],[Type]]="Major",Table1[[#This Row],[Major Group]],G361)</f>
        <v>25-0000</v>
      </c>
      <c r="H362" s="2" t="str">
        <f>IF(Table1[[#This Row],[Major Group]]&lt;&gt;"","n/a",IF(Table1[[#This Row],[Minor Group]]&lt;&gt;"",Table1[[#This Row],[Minor Group]],H361))</f>
        <v>25-1000</v>
      </c>
      <c r="I362" s="2" t="str">
        <f>IF(Table1[[#This Row],[Major Group]]&lt;&gt;"","n/a",IF(Table1[[#This Row],[Minor Group]]&lt;&gt;"","n/a",IF(Table1[[#This Row],[Broad Group]]&lt;&gt;"",Table1[[#This Row],[Broad Group]],I361)))</f>
        <v>25-1030</v>
      </c>
      <c r="J3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Occupation]],J361))))</f>
        <v>25-1031</v>
      </c>
      <c r="K362" s="2" t="str">
        <f>Table1[[#This Row],[Group Name]]</f>
        <v>Architecture Teachers, Postsecondary</v>
      </c>
    </row>
    <row r="363" spans="1:11" x14ac:dyDescent="0.25">
      <c r="D363" s="5" t="s">
        <v>651</v>
      </c>
      <c r="E363" s="5" t="s">
        <v>652</v>
      </c>
      <c r="F3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3" s="2" t="str">
        <f>IF(Table1[[#This Row],[Type]]="Major",Table1[[#This Row],[Major Group]],G362)</f>
        <v>25-0000</v>
      </c>
      <c r="H363" s="2" t="str">
        <f>IF(Table1[[#This Row],[Major Group]]&lt;&gt;"","n/a",IF(Table1[[#This Row],[Minor Group]]&lt;&gt;"",Table1[[#This Row],[Minor Group]],H362))</f>
        <v>25-1000</v>
      </c>
      <c r="I363" s="2" t="str">
        <f>IF(Table1[[#This Row],[Major Group]]&lt;&gt;"","n/a",IF(Table1[[#This Row],[Minor Group]]&lt;&gt;"","n/a",IF(Table1[[#This Row],[Broad Group]]&lt;&gt;"",Table1[[#This Row],[Broad Group]],I362)))</f>
        <v>25-1030</v>
      </c>
      <c r="J3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Occupation]],J362))))</f>
        <v>25-1032</v>
      </c>
      <c r="K363" s="2" t="str">
        <f>Table1[[#This Row],[Group Name]]</f>
        <v>Engineering Teachers, Postsecondary</v>
      </c>
    </row>
    <row r="364" spans="1:11" ht="30" x14ac:dyDescent="0.25">
      <c r="C364" s="1" t="s">
        <v>653</v>
      </c>
      <c r="E364" s="1" t="s">
        <v>654</v>
      </c>
      <c r="F3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64" s="2" t="str">
        <f>IF(Table1[[#This Row],[Type]]="Major",Table1[[#This Row],[Major Group]],G363)</f>
        <v>25-0000</v>
      </c>
      <c r="H364" s="2" t="str">
        <f>IF(Table1[[#This Row],[Major Group]]&lt;&gt;"","n/a",IF(Table1[[#This Row],[Minor Group]]&lt;&gt;"",Table1[[#This Row],[Minor Group]],H363))</f>
        <v>25-1000</v>
      </c>
      <c r="I364" s="2" t="str">
        <f>IF(Table1[[#This Row],[Major Group]]&lt;&gt;"","n/a",IF(Table1[[#This Row],[Minor Group]]&lt;&gt;"","n/a",IF(Table1[[#This Row],[Broad Group]]&lt;&gt;"",Table1[[#This Row],[Broad Group]],I363)))</f>
        <v>25-1040</v>
      </c>
      <c r="J3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Occupation]],J363))))</f>
        <v>n/a</v>
      </c>
      <c r="K364" s="2" t="str">
        <f>Table1[[#This Row],[Group Name]]</f>
        <v>Life Sciences Teachers, Postsecondary</v>
      </c>
    </row>
    <row r="365" spans="1:11" ht="25.5" x14ac:dyDescent="0.25">
      <c r="D365" s="5" t="s">
        <v>655</v>
      </c>
      <c r="E365" s="5" t="s">
        <v>656</v>
      </c>
      <c r="F3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5" s="2" t="str">
        <f>IF(Table1[[#This Row],[Type]]="Major",Table1[[#This Row],[Major Group]],G364)</f>
        <v>25-0000</v>
      </c>
      <c r="H365" s="2" t="str">
        <f>IF(Table1[[#This Row],[Major Group]]&lt;&gt;"","n/a",IF(Table1[[#This Row],[Minor Group]]&lt;&gt;"",Table1[[#This Row],[Minor Group]],H364))</f>
        <v>25-1000</v>
      </c>
      <c r="I365" s="2" t="str">
        <f>IF(Table1[[#This Row],[Major Group]]&lt;&gt;"","n/a",IF(Table1[[#This Row],[Minor Group]]&lt;&gt;"","n/a",IF(Table1[[#This Row],[Broad Group]]&lt;&gt;"",Table1[[#This Row],[Broad Group]],I364)))</f>
        <v>25-1040</v>
      </c>
      <c r="J3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Occupation]],J364))))</f>
        <v>25-1041</v>
      </c>
      <c r="K365" s="2" t="str">
        <f>Table1[[#This Row],[Group Name]]</f>
        <v>Agricultural Sciences Teachers, Postsecondary</v>
      </c>
    </row>
    <row r="366" spans="1:11" ht="25.5" x14ac:dyDescent="0.25">
      <c r="D366" s="5" t="s">
        <v>657</v>
      </c>
      <c r="E366" s="5" t="s">
        <v>658</v>
      </c>
      <c r="F3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6" s="2" t="str">
        <f>IF(Table1[[#This Row],[Type]]="Major",Table1[[#This Row],[Major Group]],G365)</f>
        <v>25-0000</v>
      </c>
      <c r="H366" s="2" t="str">
        <f>IF(Table1[[#This Row],[Major Group]]&lt;&gt;"","n/a",IF(Table1[[#This Row],[Minor Group]]&lt;&gt;"",Table1[[#This Row],[Minor Group]],H365))</f>
        <v>25-1000</v>
      </c>
      <c r="I366" s="2" t="str">
        <f>IF(Table1[[#This Row],[Major Group]]&lt;&gt;"","n/a",IF(Table1[[#This Row],[Minor Group]]&lt;&gt;"","n/a",IF(Table1[[#This Row],[Broad Group]]&lt;&gt;"",Table1[[#This Row],[Broad Group]],I365)))</f>
        <v>25-1040</v>
      </c>
      <c r="J3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Occupation]],J365))))</f>
        <v>25-1042</v>
      </c>
      <c r="K366" s="2" t="str">
        <f>Table1[[#This Row],[Group Name]]</f>
        <v>Biological Science Teachers, Postsecondary</v>
      </c>
    </row>
    <row r="367" spans="1:11" ht="25.5" x14ac:dyDescent="0.25">
      <c r="D367" s="5" t="s">
        <v>659</v>
      </c>
      <c r="E367" s="5" t="s">
        <v>660</v>
      </c>
      <c r="F3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7" s="2" t="str">
        <f>IF(Table1[[#This Row],[Type]]="Major",Table1[[#This Row],[Major Group]],G366)</f>
        <v>25-0000</v>
      </c>
      <c r="H367" s="2" t="str">
        <f>IF(Table1[[#This Row],[Major Group]]&lt;&gt;"","n/a",IF(Table1[[#This Row],[Minor Group]]&lt;&gt;"",Table1[[#This Row],[Minor Group]],H366))</f>
        <v>25-1000</v>
      </c>
      <c r="I367" s="2" t="str">
        <f>IF(Table1[[#This Row],[Major Group]]&lt;&gt;"","n/a",IF(Table1[[#This Row],[Minor Group]]&lt;&gt;"","n/a",IF(Table1[[#This Row],[Broad Group]]&lt;&gt;"",Table1[[#This Row],[Broad Group]],I366)))</f>
        <v>25-1040</v>
      </c>
      <c r="J3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Occupation]],J366))))</f>
        <v>25-1043</v>
      </c>
      <c r="K367" s="2" t="str">
        <f>Table1[[#This Row],[Group Name]]</f>
        <v>Forestry and Conservation Science Teachers, Postsecondary</v>
      </c>
    </row>
    <row r="368" spans="1:11" ht="30" x14ac:dyDescent="0.25">
      <c r="C368" s="1" t="s">
        <v>661</v>
      </c>
      <c r="E368" s="1" t="s">
        <v>662</v>
      </c>
      <c r="F3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68" s="2" t="str">
        <f>IF(Table1[[#This Row],[Type]]="Major",Table1[[#This Row],[Major Group]],G367)</f>
        <v>25-0000</v>
      </c>
      <c r="H368" s="2" t="str">
        <f>IF(Table1[[#This Row],[Major Group]]&lt;&gt;"","n/a",IF(Table1[[#This Row],[Minor Group]]&lt;&gt;"",Table1[[#This Row],[Minor Group]],H367))</f>
        <v>25-1000</v>
      </c>
      <c r="I368" s="2" t="str">
        <f>IF(Table1[[#This Row],[Major Group]]&lt;&gt;"","n/a",IF(Table1[[#This Row],[Minor Group]]&lt;&gt;"","n/a",IF(Table1[[#This Row],[Broad Group]]&lt;&gt;"",Table1[[#This Row],[Broad Group]],I367)))</f>
        <v>25-1050</v>
      </c>
      <c r="J3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Occupation]],J367))))</f>
        <v>n/a</v>
      </c>
      <c r="K368" s="2" t="str">
        <f>Table1[[#This Row],[Group Name]]</f>
        <v>Physical Sciences Teachers, Postsecondary</v>
      </c>
    </row>
    <row r="369" spans="3:11" ht="25.5" x14ac:dyDescent="0.25">
      <c r="D369" s="5" t="s">
        <v>663</v>
      </c>
      <c r="E369" s="5" t="s">
        <v>664</v>
      </c>
      <c r="F3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69" s="2" t="str">
        <f>IF(Table1[[#This Row],[Type]]="Major",Table1[[#This Row],[Major Group]],G368)</f>
        <v>25-0000</v>
      </c>
      <c r="H369" s="2" t="str">
        <f>IF(Table1[[#This Row],[Major Group]]&lt;&gt;"","n/a",IF(Table1[[#This Row],[Minor Group]]&lt;&gt;"",Table1[[#This Row],[Minor Group]],H368))</f>
        <v>25-1000</v>
      </c>
      <c r="I369" s="2" t="str">
        <f>IF(Table1[[#This Row],[Major Group]]&lt;&gt;"","n/a",IF(Table1[[#This Row],[Minor Group]]&lt;&gt;"","n/a",IF(Table1[[#This Row],[Broad Group]]&lt;&gt;"",Table1[[#This Row],[Broad Group]],I368)))</f>
        <v>25-1050</v>
      </c>
      <c r="J3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Occupation]],J368))))</f>
        <v>25-1051</v>
      </c>
      <c r="K369" s="2" t="str">
        <f>Table1[[#This Row],[Group Name]]</f>
        <v>Atmospheric, Earth, Marine, and Space Sciences Teachers, Postsecondary</v>
      </c>
    </row>
    <row r="370" spans="3:11" x14ac:dyDescent="0.25">
      <c r="D370" s="5" t="s">
        <v>665</v>
      </c>
      <c r="E370" s="5" t="s">
        <v>666</v>
      </c>
      <c r="F3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0" s="2" t="str">
        <f>IF(Table1[[#This Row],[Type]]="Major",Table1[[#This Row],[Major Group]],G369)</f>
        <v>25-0000</v>
      </c>
      <c r="H370" s="2" t="str">
        <f>IF(Table1[[#This Row],[Major Group]]&lt;&gt;"","n/a",IF(Table1[[#This Row],[Minor Group]]&lt;&gt;"",Table1[[#This Row],[Minor Group]],H369))</f>
        <v>25-1000</v>
      </c>
      <c r="I370" s="2" t="str">
        <f>IF(Table1[[#This Row],[Major Group]]&lt;&gt;"","n/a",IF(Table1[[#This Row],[Minor Group]]&lt;&gt;"","n/a",IF(Table1[[#This Row],[Broad Group]]&lt;&gt;"",Table1[[#This Row],[Broad Group]],I369)))</f>
        <v>25-1050</v>
      </c>
      <c r="J3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Occupation]],J369))))</f>
        <v>25-1052</v>
      </c>
      <c r="K370" s="2" t="str">
        <f>Table1[[#This Row],[Group Name]]</f>
        <v>Chemistry Teachers, Postsecondary</v>
      </c>
    </row>
    <row r="371" spans="3:11" ht="25.5" x14ac:dyDescent="0.25">
      <c r="D371" s="5" t="s">
        <v>667</v>
      </c>
      <c r="E371" s="5" t="s">
        <v>668</v>
      </c>
      <c r="F3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1" s="2" t="str">
        <f>IF(Table1[[#This Row],[Type]]="Major",Table1[[#This Row],[Major Group]],G370)</f>
        <v>25-0000</v>
      </c>
      <c r="H371" s="2" t="str">
        <f>IF(Table1[[#This Row],[Major Group]]&lt;&gt;"","n/a",IF(Table1[[#This Row],[Minor Group]]&lt;&gt;"",Table1[[#This Row],[Minor Group]],H370))</f>
        <v>25-1000</v>
      </c>
      <c r="I371" s="2" t="str">
        <f>IF(Table1[[#This Row],[Major Group]]&lt;&gt;"","n/a",IF(Table1[[#This Row],[Minor Group]]&lt;&gt;"","n/a",IF(Table1[[#This Row],[Broad Group]]&lt;&gt;"",Table1[[#This Row],[Broad Group]],I370)))</f>
        <v>25-1050</v>
      </c>
      <c r="J3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Occupation]],J370))))</f>
        <v>25-1053</v>
      </c>
      <c r="K371" s="2" t="str">
        <f>Table1[[#This Row],[Group Name]]</f>
        <v>Environmental Science Teachers, Postsecondary</v>
      </c>
    </row>
    <row r="372" spans="3:11" x14ac:dyDescent="0.25">
      <c r="D372" s="5" t="s">
        <v>669</v>
      </c>
      <c r="E372" s="5" t="s">
        <v>670</v>
      </c>
      <c r="F3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2" s="2" t="str">
        <f>IF(Table1[[#This Row],[Type]]="Major",Table1[[#This Row],[Major Group]],G371)</f>
        <v>25-0000</v>
      </c>
      <c r="H372" s="2" t="str">
        <f>IF(Table1[[#This Row],[Major Group]]&lt;&gt;"","n/a",IF(Table1[[#This Row],[Minor Group]]&lt;&gt;"",Table1[[#This Row],[Minor Group]],H371))</f>
        <v>25-1000</v>
      </c>
      <c r="I372" s="2" t="str">
        <f>IF(Table1[[#This Row],[Major Group]]&lt;&gt;"","n/a",IF(Table1[[#This Row],[Minor Group]]&lt;&gt;"","n/a",IF(Table1[[#This Row],[Broad Group]]&lt;&gt;"",Table1[[#This Row],[Broad Group]],I371)))</f>
        <v>25-1050</v>
      </c>
      <c r="J3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Occupation]],J371))))</f>
        <v>25-1054</v>
      </c>
      <c r="K372" s="2" t="str">
        <f>Table1[[#This Row],[Group Name]]</f>
        <v>Physics Teachers, Postsecondary</v>
      </c>
    </row>
    <row r="373" spans="3:11" ht="30" x14ac:dyDescent="0.25">
      <c r="C373" s="1" t="s">
        <v>671</v>
      </c>
      <c r="E373" s="1" t="s">
        <v>672</v>
      </c>
      <c r="F3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73" s="2" t="str">
        <f>IF(Table1[[#This Row],[Type]]="Major",Table1[[#This Row],[Major Group]],G372)</f>
        <v>25-0000</v>
      </c>
      <c r="H373" s="2" t="str">
        <f>IF(Table1[[#This Row],[Major Group]]&lt;&gt;"","n/a",IF(Table1[[#This Row],[Minor Group]]&lt;&gt;"",Table1[[#This Row],[Minor Group]],H372))</f>
        <v>25-1000</v>
      </c>
      <c r="I373" s="2" t="str">
        <f>IF(Table1[[#This Row],[Major Group]]&lt;&gt;"","n/a",IF(Table1[[#This Row],[Minor Group]]&lt;&gt;"","n/a",IF(Table1[[#This Row],[Broad Group]]&lt;&gt;"",Table1[[#This Row],[Broad Group]],I372)))</f>
        <v>25-1060</v>
      </c>
      <c r="J3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Occupation]],J372))))</f>
        <v>n/a</v>
      </c>
      <c r="K373" s="2" t="str">
        <f>Table1[[#This Row],[Group Name]]</f>
        <v>Social Sciences Teachers, Postsecondary</v>
      </c>
    </row>
    <row r="374" spans="3:11" ht="25.5" x14ac:dyDescent="0.25">
      <c r="D374" s="5" t="s">
        <v>673</v>
      </c>
      <c r="E374" s="5" t="s">
        <v>674</v>
      </c>
      <c r="F3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4" s="2" t="str">
        <f>IF(Table1[[#This Row],[Type]]="Major",Table1[[#This Row],[Major Group]],G373)</f>
        <v>25-0000</v>
      </c>
      <c r="H374" s="2" t="str">
        <f>IF(Table1[[#This Row],[Major Group]]&lt;&gt;"","n/a",IF(Table1[[#This Row],[Minor Group]]&lt;&gt;"",Table1[[#This Row],[Minor Group]],H373))</f>
        <v>25-1000</v>
      </c>
      <c r="I374" s="2" t="str">
        <f>IF(Table1[[#This Row],[Major Group]]&lt;&gt;"","n/a",IF(Table1[[#This Row],[Minor Group]]&lt;&gt;"","n/a",IF(Table1[[#This Row],[Broad Group]]&lt;&gt;"",Table1[[#This Row],[Broad Group]],I373)))</f>
        <v>25-1060</v>
      </c>
      <c r="J3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Occupation]],J373))))</f>
        <v>25-1061</v>
      </c>
      <c r="K374" s="2" t="str">
        <f>Table1[[#This Row],[Group Name]]</f>
        <v>Anthropology and Archeology Teachers, Postsecondary</v>
      </c>
    </row>
    <row r="375" spans="3:11" ht="25.5" x14ac:dyDescent="0.25">
      <c r="D375" s="5" t="s">
        <v>675</v>
      </c>
      <c r="E375" s="5" t="s">
        <v>676</v>
      </c>
      <c r="F3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5" s="2" t="str">
        <f>IF(Table1[[#This Row],[Type]]="Major",Table1[[#This Row],[Major Group]],G374)</f>
        <v>25-0000</v>
      </c>
      <c r="H375" s="2" t="str">
        <f>IF(Table1[[#This Row],[Major Group]]&lt;&gt;"","n/a",IF(Table1[[#This Row],[Minor Group]]&lt;&gt;"",Table1[[#This Row],[Minor Group]],H374))</f>
        <v>25-1000</v>
      </c>
      <c r="I375" s="2" t="str">
        <f>IF(Table1[[#This Row],[Major Group]]&lt;&gt;"","n/a",IF(Table1[[#This Row],[Minor Group]]&lt;&gt;"","n/a",IF(Table1[[#This Row],[Broad Group]]&lt;&gt;"",Table1[[#This Row],[Broad Group]],I374)))</f>
        <v>25-1060</v>
      </c>
      <c r="J3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Occupation]],J374))))</f>
        <v>25-1062</v>
      </c>
      <c r="K375" s="2" t="str">
        <f>Table1[[#This Row],[Group Name]]</f>
        <v>Area, Ethnic, and Cultural Studies Teachers, Postsecondary</v>
      </c>
    </row>
    <row r="376" spans="3:11" x14ac:dyDescent="0.25">
      <c r="D376" s="5" t="s">
        <v>677</v>
      </c>
      <c r="E376" s="5" t="s">
        <v>678</v>
      </c>
      <c r="F3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6" s="2" t="str">
        <f>IF(Table1[[#This Row],[Type]]="Major",Table1[[#This Row],[Major Group]],G375)</f>
        <v>25-0000</v>
      </c>
      <c r="H376" s="2" t="str">
        <f>IF(Table1[[#This Row],[Major Group]]&lt;&gt;"","n/a",IF(Table1[[#This Row],[Minor Group]]&lt;&gt;"",Table1[[#This Row],[Minor Group]],H375))</f>
        <v>25-1000</v>
      </c>
      <c r="I376" s="2" t="str">
        <f>IF(Table1[[#This Row],[Major Group]]&lt;&gt;"","n/a",IF(Table1[[#This Row],[Minor Group]]&lt;&gt;"","n/a",IF(Table1[[#This Row],[Broad Group]]&lt;&gt;"",Table1[[#This Row],[Broad Group]],I375)))</f>
        <v>25-1060</v>
      </c>
      <c r="J3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Occupation]],J375))))</f>
        <v>25-1063</v>
      </c>
      <c r="K376" s="2" t="str">
        <f>Table1[[#This Row],[Group Name]]</f>
        <v>Economics Teachers, Postsecondary</v>
      </c>
    </row>
    <row r="377" spans="3:11" x14ac:dyDescent="0.25">
      <c r="D377" s="5" t="s">
        <v>679</v>
      </c>
      <c r="E377" s="5" t="s">
        <v>680</v>
      </c>
      <c r="F3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7" s="2" t="str">
        <f>IF(Table1[[#This Row],[Type]]="Major",Table1[[#This Row],[Major Group]],G376)</f>
        <v>25-0000</v>
      </c>
      <c r="H377" s="2" t="str">
        <f>IF(Table1[[#This Row],[Major Group]]&lt;&gt;"","n/a",IF(Table1[[#This Row],[Minor Group]]&lt;&gt;"",Table1[[#This Row],[Minor Group]],H376))</f>
        <v>25-1000</v>
      </c>
      <c r="I377" s="2" t="str">
        <f>IF(Table1[[#This Row],[Major Group]]&lt;&gt;"","n/a",IF(Table1[[#This Row],[Minor Group]]&lt;&gt;"","n/a",IF(Table1[[#This Row],[Broad Group]]&lt;&gt;"",Table1[[#This Row],[Broad Group]],I376)))</f>
        <v>25-1060</v>
      </c>
      <c r="J3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Occupation]],J376))))</f>
        <v>25-1064</v>
      </c>
      <c r="K377" s="2" t="str">
        <f>Table1[[#This Row],[Group Name]]</f>
        <v>Geography Teachers, Postsecondary</v>
      </c>
    </row>
    <row r="378" spans="3:11" ht="25.5" x14ac:dyDescent="0.25">
      <c r="D378" s="5" t="s">
        <v>681</v>
      </c>
      <c r="E378" s="5" t="s">
        <v>682</v>
      </c>
      <c r="F3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8" s="2" t="str">
        <f>IF(Table1[[#This Row],[Type]]="Major",Table1[[#This Row],[Major Group]],G377)</f>
        <v>25-0000</v>
      </c>
      <c r="H378" s="2" t="str">
        <f>IF(Table1[[#This Row],[Major Group]]&lt;&gt;"","n/a",IF(Table1[[#This Row],[Minor Group]]&lt;&gt;"",Table1[[#This Row],[Minor Group]],H377))</f>
        <v>25-1000</v>
      </c>
      <c r="I378" s="2" t="str">
        <f>IF(Table1[[#This Row],[Major Group]]&lt;&gt;"","n/a",IF(Table1[[#This Row],[Minor Group]]&lt;&gt;"","n/a",IF(Table1[[#This Row],[Broad Group]]&lt;&gt;"",Table1[[#This Row],[Broad Group]],I377)))</f>
        <v>25-1060</v>
      </c>
      <c r="J3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Occupation]],J377))))</f>
        <v>25-1065</v>
      </c>
      <c r="K378" s="2" t="str">
        <f>Table1[[#This Row],[Group Name]]</f>
        <v>Political Science Teachers, Postsecondary</v>
      </c>
    </row>
    <row r="379" spans="3:11" x14ac:dyDescent="0.25">
      <c r="D379" s="5" t="s">
        <v>683</v>
      </c>
      <c r="E379" s="5" t="s">
        <v>684</v>
      </c>
      <c r="F3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79" s="2" t="str">
        <f>IF(Table1[[#This Row],[Type]]="Major",Table1[[#This Row],[Major Group]],G378)</f>
        <v>25-0000</v>
      </c>
      <c r="H379" s="2" t="str">
        <f>IF(Table1[[#This Row],[Major Group]]&lt;&gt;"","n/a",IF(Table1[[#This Row],[Minor Group]]&lt;&gt;"",Table1[[#This Row],[Minor Group]],H378))</f>
        <v>25-1000</v>
      </c>
      <c r="I379" s="2" t="str">
        <f>IF(Table1[[#This Row],[Major Group]]&lt;&gt;"","n/a",IF(Table1[[#This Row],[Minor Group]]&lt;&gt;"","n/a",IF(Table1[[#This Row],[Broad Group]]&lt;&gt;"",Table1[[#This Row],[Broad Group]],I378)))</f>
        <v>25-1060</v>
      </c>
      <c r="J3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Occupation]],J378))))</f>
        <v>25-1066</v>
      </c>
      <c r="K379" s="2" t="str">
        <f>Table1[[#This Row],[Group Name]]</f>
        <v>Psychology Teachers, Postsecondary</v>
      </c>
    </row>
    <row r="380" spans="3:11" x14ac:dyDescent="0.25">
      <c r="D380" s="5" t="s">
        <v>685</v>
      </c>
      <c r="E380" s="5" t="s">
        <v>686</v>
      </c>
      <c r="F3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0" s="2" t="str">
        <f>IF(Table1[[#This Row],[Type]]="Major",Table1[[#This Row],[Major Group]],G379)</f>
        <v>25-0000</v>
      </c>
      <c r="H380" s="2" t="str">
        <f>IF(Table1[[#This Row],[Major Group]]&lt;&gt;"","n/a",IF(Table1[[#This Row],[Minor Group]]&lt;&gt;"",Table1[[#This Row],[Minor Group]],H379))</f>
        <v>25-1000</v>
      </c>
      <c r="I380" s="2" t="str">
        <f>IF(Table1[[#This Row],[Major Group]]&lt;&gt;"","n/a",IF(Table1[[#This Row],[Minor Group]]&lt;&gt;"","n/a",IF(Table1[[#This Row],[Broad Group]]&lt;&gt;"",Table1[[#This Row],[Broad Group]],I379)))</f>
        <v>25-1060</v>
      </c>
      <c r="J3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Occupation]],J379))))</f>
        <v>25-1067</v>
      </c>
      <c r="K380" s="2" t="str">
        <f>Table1[[#This Row],[Group Name]]</f>
        <v>Sociology Teachers, Postsecondary</v>
      </c>
    </row>
    <row r="381" spans="3:11" ht="25.5" x14ac:dyDescent="0.25">
      <c r="D381" s="5" t="s">
        <v>687</v>
      </c>
      <c r="E381" s="5" t="s">
        <v>688</v>
      </c>
      <c r="F3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1" s="2" t="str">
        <f>IF(Table1[[#This Row],[Type]]="Major",Table1[[#This Row],[Major Group]],G380)</f>
        <v>25-0000</v>
      </c>
      <c r="H381" s="2" t="str">
        <f>IF(Table1[[#This Row],[Major Group]]&lt;&gt;"","n/a",IF(Table1[[#This Row],[Minor Group]]&lt;&gt;"",Table1[[#This Row],[Minor Group]],H380))</f>
        <v>25-1000</v>
      </c>
      <c r="I381" s="2" t="str">
        <f>IF(Table1[[#This Row],[Major Group]]&lt;&gt;"","n/a",IF(Table1[[#This Row],[Minor Group]]&lt;&gt;"","n/a",IF(Table1[[#This Row],[Broad Group]]&lt;&gt;"",Table1[[#This Row],[Broad Group]],I380)))</f>
        <v>25-1060</v>
      </c>
      <c r="J3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Occupation]],J380))))</f>
        <v>25-1069</v>
      </c>
      <c r="K381" s="2" t="str">
        <f>Table1[[#This Row],[Group Name]]</f>
        <v>Social Sciences Teachers, Postsecondary, All Other</v>
      </c>
    </row>
    <row r="382" spans="3:11" x14ac:dyDescent="0.25">
      <c r="C382" s="1" t="s">
        <v>689</v>
      </c>
      <c r="E382" s="1" t="s">
        <v>690</v>
      </c>
      <c r="F3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82" s="2" t="str">
        <f>IF(Table1[[#This Row],[Type]]="Major",Table1[[#This Row],[Major Group]],G381)</f>
        <v>25-0000</v>
      </c>
      <c r="H382" s="2" t="str">
        <f>IF(Table1[[#This Row],[Major Group]]&lt;&gt;"","n/a",IF(Table1[[#This Row],[Minor Group]]&lt;&gt;"",Table1[[#This Row],[Minor Group]],H381))</f>
        <v>25-1000</v>
      </c>
      <c r="I382" s="2" t="str">
        <f>IF(Table1[[#This Row],[Major Group]]&lt;&gt;"","n/a",IF(Table1[[#This Row],[Minor Group]]&lt;&gt;"","n/a",IF(Table1[[#This Row],[Broad Group]]&lt;&gt;"",Table1[[#This Row],[Broad Group]],I381)))</f>
        <v>25-1070</v>
      </c>
      <c r="J3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Occupation]],J381))))</f>
        <v>n/a</v>
      </c>
      <c r="K382" s="2" t="str">
        <f>Table1[[#This Row],[Group Name]]</f>
        <v>Health Teachers, Postsecondary</v>
      </c>
    </row>
    <row r="383" spans="3:11" ht="25.5" x14ac:dyDescent="0.25">
      <c r="D383" s="5" t="s">
        <v>691</v>
      </c>
      <c r="E383" s="5" t="s">
        <v>692</v>
      </c>
      <c r="F3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3" s="2" t="str">
        <f>IF(Table1[[#This Row],[Type]]="Major",Table1[[#This Row],[Major Group]],G382)</f>
        <v>25-0000</v>
      </c>
      <c r="H383" s="2" t="str">
        <f>IF(Table1[[#This Row],[Major Group]]&lt;&gt;"","n/a",IF(Table1[[#This Row],[Minor Group]]&lt;&gt;"",Table1[[#This Row],[Minor Group]],H382))</f>
        <v>25-1000</v>
      </c>
      <c r="I383" s="2" t="str">
        <f>IF(Table1[[#This Row],[Major Group]]&lt;&gt;"","n/a",IF(Table1[[#This Row],[Minor Group]]&lt;&gt;"","n/a",IF(Table1[[#This Row],[Broad Group]]&lt;&gt;"",Table1[[#This Row],[Broad Group]],I382)))</f>
        <v>25-1070</v>
      </c>
      <c r="J3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Occupation]],J382))))</f>
        <v>25-1071</v>
      </c>
      <c r="K383" s="2" t="str">
        <f>Table1[[#This Row],[Group Name]]</f>
        <v>Health Specialties Teachers, Postsecondary</v>
      </c>
    </row>
    <row r="384" spans="3:11" ht="25.5" x14ac:dyDescent="0.25">
      <c r="D384" s="5" t="s">
        <v>693</v>
      </c>
      <c r="E384" s="5" t="s">
        <v>694</v>
      </c>
      <c r="F3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4" s="2" t="str">
        <f>IF(Table1[[#This Row],[Type]]="Major",Table1[[#This Row],[Major Group]],G383)</f>
        <v>25-0000</v>
      </c>
      <c r="H384" s="2" t="str">
        <f>IF(Table1[[#This Row],[Major Group]]&lt;&gt;"","n/a",IF(Table1[[#This Row],[Minor Group]]&lt;&gt;"",Table1[[#This Row],[Minor Group]],H383))</f>
        <v>25-1000</v>
      </c>
      <c r="I384" s="2" t="str">
        <f>IF(Table1[[#This Row],[Major Group]]&lt;&gt;"","n/a",IF(Table1[[#This Row],[Minor Group]]&lt;&gt;"","n/a",IF(Table1[[#This Row],[Broad Group]]&lt;&gt;"",Table1[[#This Row],[Broad Group]],I383)))</f>
        <v>25-1070</v>
      </c>
      <c r="J3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Occupation]],J383))))</f>
        <v>25-1072</v>
      </c>
      <c r="K384" s="2" t="str">
        <f>Table1[[#This Row],[Group Name]]</f>
        <v>Nursing Instructors and Teachers, Postsecondary</v>
      </c>
    </row>
    <row r="385" spans="3:11" ht="30" x14ac:dyDescent="0.25">
      <c r="C385" s="1" t="s">
        <v>695</v>
      </c>
      <c r="E385" s="1" t="s">
        <v>696</v>
      </c>
      <c r="F3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85" s="2" t="str">
        <f>IF(Table1[[#This Row],[Type]]="Major",Table1[[#This Row],[Major Group]],G384)</f>
        <v>25-0000</v>
      </c>
      <c r="H385" s="2" t="str">
        <f>IF(Table1[[#This Row],[Major Group]]&lt;&gt;"","n/a",IF(Table1[[#This Row],[Minor Group]]&lt;&gt;"",Table1[[#This Row],[Minor Group]],H384))</f>
        <v>25-1000</v>
      </c>
      <c r="I385" s="2" t="str">
        <f>IF(Table1[[#This Row],[Major Group]]&lt;&gt;"","n/a",IF(Table1[[#This Row],[Minor Group]]&lt;&gt;"","n/a",IF(Table1[[#This Row],[Broad Group]]&lt;&gt;"",Table1[[#This Row],[Broad Group]],I384)))</f>
        <v>25-1080</v>
      </c>
      <c r="J3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Occupation]],J384))))</f>
        <v>n/a</v>
      </c>
      <c r="K385" s="2" t="str">
        <f>Table1[[#This Row],[Group Name]]</f>
        <v>Education and Library Science Teachers, Postsecondary</v>
      </c>
    </row>
    <row r="386" spans="3:11" x14ac:dyDescent="0.25">
      <c r="D386" s="5" t="s">
        <v>697</v>
      </c>
      <c r="E386" s="5" t="s">
        <v>698</v>
      </c>
      <c r="F3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6" s="2" t="str">
        <f>IF(Table1[[#This Row],[Type]]="Major",Table1[[#This Row],[Major Group]],G385)</f>
        <v>25-0000</v>
      </c>
      <c r="H386" s="2" t="str">
        <f>IF(Table1[[#This Row],[Major Group]]&lt;&gt;"","n/a",IF(Table1[[#This Row],[Minor Group]]&lt;&gt;"",Table1[[#This Row],[Minor Group]],H385))</f>
        <v>25-1000</v>
      </c>
      <c r="I386" s="2" t="str">
        <f>IF(Table1[[#This Row],[Major Group]]&lt;&gt;"","n/a",IF(Table1[[#This Row],[Minor Group]]&lt;&gt;"","n/a",IF(Table1[[#This Row],[Broad Group]]&lt;&gt;"",Table1[[#This Row],[Broad Group]],I385)))</f>
        <v>25-1080</v>
      </c>
      <c r="J3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Occupation]],J385))))</f>
        <v>25-1081</v>
      </c>
      <c r="K386" s="2" t="str">
        <f>Table1[[#This Row],[Group Name]]</f>
        <v>Education Teachers, Postsecondary</v>
      </c>
    </row>
    <row r="387" spans="3:11" ht="25.5" x14ac:dyDescent="0.25">
      <c r="D387" s="5" t="s">
        <v>699</v>
      </c>
      <c r="E387" s="5" t="s">
        <v>700</v>
      </c>
      <c r="F3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7" s="2" t="str">
        <f>IF(Table1[[#This Row],[Type]]="Major",Table1[[#This Row],[Major Group]],G386)</f>
        <v>25-0000</v>
      </c>
      <c r="H387" s="2" t="str">
        <f>IF(Table1[[#This Row],[Major Group]]&lt;&gt;"","n/a",IF(Table1[[#This Row],[Minor Group]]&lt;&gt;"",Table1[[#This Row],[Minor Group]],H386))</f>
        <v>25-1000</v>
      </c>
      <c r="I387" s="2" t="str">
        <f>IF(Table1[[#This Row],[Major Group]]&lt;&gt;"","n/a",IF(Table1[[#This Row],[Minor Group]]&lt;&gt;"","n/a",IF(Table1[[#This Row],[Broad Group]]&lt;&gt;"",Table1[[#This Row],[Broad Group]],I386)))</f>
        <v>25-1080</v>
      </c>
      <c r="J3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Occupation]],J386))))</f>
        <v>25-1082</v>
      </c>
      <c r="K387" s="2" t="str">
        <f>Table1[[#This Row],[Group Name]]</f>
        <v>Library Science Teachers, Postsecondary</v>
      </c>
    </row>
    <row r="388" spans="3:11" ht="30" x14ac:dyDescent="0.25">
      <c r="C388" s="1" t="s">
        <v>701</v>
      </c>
      <c r="E388" s="1" t="s">
        <v>702</v>
      </c>
      <c r="F3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88" s="2" t="str">
        <f>IF(Table1[[#This Row],[Type]]="Major",Table1[[#This Row],[Major Group]],G387)</f>
        <v>25-0000</v>
      </c>
      <c r="H388" s="2" t="str">
        <f>IF(Table1[[#This Row],[Major Group]]&lt;&gt;"","n/a",IF(Table1[[#This Row],[Minor Group]]&lt;&gt;"",Table1[[#This Row],[Minor Group]],H387))</f>
        <v>25-1000</v>
      </c>
      <c r="I388" s="2" t="str">
        <f>IF(Table1[[#This Row],[Major Group]]&lt;&gt;"","n/a",IF(Table1[[#This Row],[Minor Group]]&lt;&gt;"","n/a",IF(Table1[[#This Row],[Broad Group]]&lt;&gt;"",Table1[[#This Row],[Broad Group]],I387)))</f>
        <v>25-1110</v>
      </c>
      <c r="J3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Occupation]],J387))))</f>
        <v>n/a</v>
      </c>
      <c r="K388" s="2" t="str">
        <f>Table1[[#This Row],[Group Name]]</f>
        <v>Law, Criminal Justice, and Social Work Teachers, Postsecondary</v>
      </c>
    </row>
    <row r="389" spans="3:11" ht="25.5" x14ac:dyDescent="0.25">
      <c r="D389" s="5" t="s">
        <v>703</v>
      </c>
      <c r="E389" s="5" t="s">
        <v>704</v>
      </c>
      <c r="F3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89" s="2" t="str">
        <f>IF(Table1[[#This Row],[Type]]="Major",Table1[[#This Row],[Major Group]],G388)</f>
        <v>25-0000</v>
      </c>
      <c r="H389" s="2" t="str">
        <f>IF(Table1[[#This Row],[Major Group]]&lt;&gt;"","n/a",IF(Table1[[#This Row],[Minor Group]]&lt;&gt;"",Table1[[#This Row],[Minor Group]],H388))</f>
        <v>25-1000</v>
      </c>
      <c r="I389" s="2" t="str">
        <f>IF(Table1[[#This Row],[Major Group]]&lt;&gt;"","n/a",IF(Table1[[#This Row],[Minor Group]]&lt;&gt;"","n/a",IF(Table1[[#This Row],[Broad Group]]&lt;&gt;"",Table1[[#This Row],[Broad Group]],I388)))</f>
        <v>25-1110</v>
      </c>
      <c r="J3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Occupation]],J388))))</f>
        <v>25-1111</v>
      </c>
      <c r="K389" s="2" t="str">
        <f>Table1[[#This Row],[Group Name]]</f>
        <v>Criminal Justice and Law Enforcement Teachers, Postsecondary</v>
      </c>
    </row>
    <row r="390" spans="3:11" x14ac:dyDescent="0.25">
      <c r="D390" s="5" t="s">
        <v>705</v>
      </c>
      <c r="E390" s="5" t="s">
        <v>706</v>
      </c>
      <c r="F3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0" s="2" t="str">
        <f>IF(Table1[[#This Row],[Type]]="Major",Table1[[#This Row],[Major Group]],G389)</f>
        <v>25-0000</v>
      </c>
      <c r="H390" s="2" t="str">
        <f>IF(Table1[[#This Row],[Major Group]]&lt;&gt;"","n/a",IF(Table1[[#This Row],[Minor Group]]&lt;&gt;"",Table1[[#This Row],[Minor Group]],H389))</f>
        <v>25-1000</v>
      </c>
      <c r="I390" s="2" t="str">
        <f>IF(Table1[[#This Row],[Major Group]]&lt;&gt;"","n/a",IF(Table1[[#This Row],[Minor Group]]&lt;&gt;"","n/a",IF(Table1[[#This Row],[Broad Group]]&lt;&gt;"",Table1[[#This Row],[Broad Group]],I389)))</f>
        <v>25-1110</v>
      </c>
      <c r="J3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Occupation]],J389))))</f>
        <v>25-1112</v>
      </c>
      <c r="K390" s="2" t="str">
        <f>Table1[[#This Row],[Group Name]]</f>
        <v>Law Teachers, Postsecondary</v>
      </c>
    </row>
    <row r="391" spans="3:11" x14ac:dyDescent="0.25">
      <c r="D391" s="5" t="s">
        <v>707</v>
      </c>
      <c r="E391" s="5" t="s">
        <v>708</v>
      </c>
      <c r="F3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1" s="2" t="str">
        <f>IF(Table1[[#This Row],[Type]]="Major",Table1[[#This Row],[Major Group]],G390)</f>
        <v>25-0000</v>
      </c>
      <c r="H391" s="2" t="str">
        <f>IF(Table1[[#This Row],[Major Group]]&lt;&gt;"","n/a",IF(Table1[[#This Row],[Minor Group]]&lt;&gt;"",Table1[[#This Row],[Minor Group]],H390))</f>
        <v>25-1000</v>
      </c>
      <c r="I391" s="2" t="str">
        <f>IF(Table1[[#This Row],[Major Group]]&lt;&gt;"","n/a",IF(Table1[[#This Row],[Minor Group]]&lt;&gt;"","n/a",IF(Table1[[#This Row],[Broad Group]]&lt;&gt;"",Table1[[#This Row],[Broad Group]],I390)))</f>
        <v>25-1110</v>
      </c>
      <c r="J3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Occupation]],J390))))</f>
        <v>25-1113</v>
      </c>
      <c r="K391" s="2" t="str">
        <f>Table1[[#This Row],[Group Name]]</f>
        <v>Social Work Teachers, Postsecondary</v>
      </c>
    </row>
    <row r="392" spans="3:11" ht="45" x14ac:dyDescent="0.25">
      <c r="C392" s="1" t="s">
        <v>709</v>
      </c>
      <c r="E392" s="1" t="s">
        <v>710</v>
      </c>
      <c r="F3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92" s="2" t="str">
        <f>IF(Table1[[#This Row],[Type]]="Major",Table1[[#This Row],[Major Group]],G391)</f>
        <v>25-0000</v>
      </c>
      <c r="H392" s="2" t="str">
        <f>IF(Table1[[#This Row],[Major Group]]&lt;&gt;"","n/a",IF(Table1[[#This Row],[Minor Group]]&lt;&gt;"",Table1[[#This Row],[Minor Group]],H391))</f>
        <v>25-1000</v>
      </c>
      <c r="I392" s="2" t="str">
        <f>IF(Table1[[#This Row],[Major Group]]&lt;&gt;"","n/a",IF(Table1[[#This Row],[Minor Group]]&lt;&gt;"","n/a",IF(Table1[[#This Row],[Broad Group]]&lt;&gt;"",Table1[[#This Row],[Broad Group]],I391)))</f>
        <v>25-1120</v>
      </c>
      <c r="J3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Occupation]],J391))))</f>
        <v>n/a</v>
      </c>
      <c r="K392" s="2" t="str">
        <f>Table1[[#This Row],[Group Name]]</f>
        <v>Arts, Communications, History, and Humanities Teachers, Postsecondary</v>
      </c>
    </row>
    <row r="393" spans="3:11" ht="25.5" x14ac:dyDescent="0.25">
      <c r="D393" s="5" t="s">
        <v>711</v>
      </c>
      <c r="E393" s="5" t="s">
        <v>712</v>
      </c>
      <c r="F3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3" s="2" t="str">
        <f>IF(Table1[[#This Row],[Type]]="Major",Table1[[#This Row],[Major Group]],G392)</f>
        <v>25-0000</v>
      </c>
      <c r="H393" s="2" t="str">
        <f>IF(Table1[[#This Row],[Major Group]]&lt;&gt;"","n/a",IF(Table1[[#This Row],[Minor Group]]&lt;&gt;"",Table1[[#This Row],[Minor Group]],H392))</f>
        <v>25-1000</v>
      </c>
      <c r="I393" s="2" t="str">
        <f>IF(Table1[[#This Row],[Major Group]]&lt;&gt;"","n/a",IF(Table1[[#This Row],[Minor Group]]&lt;&gt;"","n/a",IF(Table1[[#This Row],[Broad Group]]&lt;&gt;"",Table1[[#This Row],[Broad Group]],I392)))</f>
        <v>25-1120</v>
      </c>
      <c r="J3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Occupation]],J392))))</f>
        <v>25-1121</v>
      </c>
      <c r="K393" s="2" t="str">
        <f>Table1[[#This Row],[Group Name]]</f>
        <v>Art, Drama, and Music Teachers, Postsecondary</v>
      </c>
    </row>
    <row r="394" spans="3:11" ht="25.5" x14ac:dyDescent="0.25">
      <c r="D394" s="5" t="s">
        <v>713</v>
      </c>
      <c r="E394" s="5" t="s">
        <v>714</v>
      </c>
      <c r="F3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4" s="2" t="str">
        <f>IF(Table1[[#This Row],[Type]]="Major",Table1[[#This Row],[Major Group]],G393)</f>
        <v>25-0000</v>
      </c>
      <c r="H394" s="2" t="str">
        <f>IF(Table1[[#This Row],[Major Group]]&lt;&gt;"","n/a",IF(Table1[[#This Row],[Minor Group]]&lt;&gt;"",Table1[[#This Row],[Minor Group]],H393))</f>
        <v>25-1000</v>
      </c>
      <c r="I394" s="2" t="str">
        <f>IF(Table1[[#This Row],[Major Group]]&lt;&gt;"","n/a",IF(Table1[[#This Row],[Minor Group]]&lt;&gt;"","n/a",IF(Table1[[#This Row],[Broad Group]]&lt;&gt;"",Table1[[#This Row],[Broad Group]],I393)))</f>
        <v>25-1120</v>
      </c>
      <c r="J3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Occupation]],J393))))</f>
        <v>25-1122</v>
      </c>
      <c r="K394" s="2" t="str">
        <f>Table1[[#This Row],[Group Name]]</f>
        <v>Communications Teachers, Postsecondary</v>
      </c>
    </row>
    <row r="395" spans="3:11" ht="25.5" x14ac:dyDescent="0.25">
      <c r="D395" s="5" t="s">
        <v>715</v>
      </c>
      <c r="E395" s="5" t="s">
        <v>716</v>
      </c>
      <c r="F3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5" s="2" t="str">
        <f>IF(Table1[[#This Row],[Type]]="Major",Table1[[#This Row],[Major Group]],G394)</f>
        <v>25-0000</v>
      </c>
      <c r="H395" s="2" t="str">
        <f>IF(Table1[[#This Row],[Major Group]]&lt;&gt;"","n/a",IF(Table1[[#This Row],[Minor Group]]&lt;&gt;"",Table1[[#This Row],[Minor Group]],H394))</f>
        <v>25-1000</v>
      </c>
      <c r="I395" s="2" t="str">
        <f>IF(Table1[[#This Row],[Major Group]]&lt;&gt;"","n/a",IF(Table1[[#This Row],[Minor Group]]&lt;&gt;"","n/a",IF(Table1[[#This Row],[Broad Group]]&lt;&gt;"",Table1[[#This Row],[Broad Group]],I394)))</f>
        <v>25-1120</v>
      </c>
      <c r="J3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Occupation]],J394))))</f>
        <v>25-1123</v>
      </c>
      <c r="K395" s="2" t="str">
        <f>Table1[[#This Row],[Group Name]]</f>
        <v>English Language and Literature Teachers, Postsecondary</v>
      </c>
    </row>
    <row r="396" spans="3:11" ht="25.5" x14ac:dyDescent="0.25">
      <c r="D396" s="5" t="s">
        <v>717</v>
      </c>
      <c r="E396" s="5" t="s">
        <v>718</v>
      </c>
      <c r="F3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6" s="2" t="str">
        <f>IF(Table1[[#This Row],[Type]]="Major",Table1[[#This Row],[Major Group]],G395)</f>
        <v>25-0000</v>
      </c>
      <c r="H396" s="2" t="str">
        <f>IF(Table1[[#This Row],[Major Group]]&lt;&gt;"","n/a",IF(Table1[[#This Row],[Minor Group]]&lt;&gt;"",Table1[[#This Row],[Minor Group]],H395))</f>
        <v>25-1000</v>
      </c>
      <c r="I396" s="2" t="str">
        <f>IF(Table1[[#This Row],[Major Group]]&lt;&gt;"","n/a",IF(Table1[[#This Row],[Minor Group]]&lt;&gt;"","n/a",IF(Table1[[#This Row],[Broad Group]]&lt;&gt;"",Table1[[#This Row],[Broad Group]],I395)))</f>
        <v>25-1120</v>
      </c>
      <c r="J3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Occupation]],J395))))</f>
        <v>25-1124</v>
      </c>
      <c r="K396" s="2" t="str">
        <f>Table1[[#This Row],[Group Name]]</f>
        <v>Foreign Language and Literature Teachers, Postsecondary</v>
      </c>
    </row>
    <row r="397" spans="3:11" x14ac:dyDescent="0.25">
      <c r="D397" s="5" t="s">
        <v>719</v>
      </c>
      <c r="E397" s="5" t="s">
        <v>720</v>
      </c>
      <c r="F3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7" s="2" t="str">
        <f>IF(Table1[[#This Row],[Type]]="Major",Table1[[#This Row],[Major Group]],G396)</f>
        <v>25-0000</v>
      </c>
      <c r="H397" s="2" t="str">
        <f>IF(Table1[[#This Row],[Major Group]]&lt;&gt;"","n/a",IF(Table1[[#This Row],[Minor Group]]&lt;&gt;"",Table1[[#This Row],[Minor Group]],H396))</f>
        <v>25-1000</v>
      </c>
      <c r="I397" s="2" t="str">
        <f>IF(Table1[[#This Row],[Major Group]]&lt;&gt;"","n/a",IF(Table1[[#This Row],[Minor Group]]&lt;&gt;"","n/a",IF(Table1[[#This Row],[Broad Group]]&lt;&gt;"",Table1[[#This Row],[Broad Group]],I396)))</f>
        <v>25-1120</v>
      </c>
      <c r="J3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Occupation]],J396))))</f>
        <v>25-1125</v>
      </c>
      <c r="K397" s="2" t="str">
        <f>Table1[[#This Row],[Group Name]]</f>
        <v>History Teachers, Postsecondary</v>
      </c>
    </row>
    <row r="398" spans="3:11" ht="25.5" x14ac:dyDescent="0.25">
      <c r="D398" s="5" t="s">
        <v>721</v>
      </c>
      <c r="E398" s="5" t="s">
        <v>722</v>
      </c>
      <c r="F3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398" s="2" t="str">
        <f>IF(Table1[[#This Row],[Type]]="Major",Table1[[#This Row],[Major Group]],G397)</f>
        <v>25-0000</v>
      </c>
      <c r="H398" s="2" t="str">
        <f>IF(Table1[[#This Row],[Major Group]]&lt;&gt;"","n/a",IF(Table1[[#This Row],[Minor Group]]&lt;&gt;"",Table1[[#This Row],[Minor Group]],H397))</f>
        <v>25-1000</v>
      </c>
      <c r="I398" s="2" t="str">
        <f>IF(Table1[[#This Row],[Major Group]]&lt;&gt;"","n/a",IF(Table1[[#This Row],[Minor Group]]&lt;&gt;"","n/a",IF(Table1[[#This Row],[Broad Group]]&lt;&gt;"",Table1[[#This Row],[Broad Group]],I397)))</f>
        <v>25-1120</v>
      </c>
      <c r="J3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Occupation]],J397))))</f>
        <v>25-1126</v>
      </c>
      <c r="K398" s="2" t="str">
        <f>Table1[[#This Row],[Group Name]]</f>
        <v>Philosophy and Religion Teachers, Postsecondary</v>
      </c>
    </row>
    <row r="399" spans="3:11" ht="30" x14ac:dyDescent="0.25">
      <c r="C399" s="1" t="s">
        <v>723</v>
      </c>
      <c r="E399" s="1" t="s">
        <v>724</v>
      </c>
      <c r="F3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399" s="2" t="str">
        <f>IF(Table1[[#This Row],[Type]]="Major",Table1[[#This Row],[Major Group]],G398)</f>
        <v>25-0000</v>
      </c>
      <c r="H399" s="2" t="str">
        <f>IF(Table1[[#This Row],[Major Group]]&lt;&gt;"","n/a",IF(Table1[[#This Row],[Minor Group]]&lt;&gt;"",Table1[[#This Row],[Minor Group]],H398))</f>
        <v>25-1000</v>
      </c>
      <c r="I399" s="2" t="str">
        <f>IF(Table1[[#This Row],[Major Group]]&lt;&gt;"","n/a",IF(Table1[[#This Row],[Minor Group]]&lt;&gt;"","n/a",IF(Table1[[#This Row],[Broad Group]]&lt;&gt;"",Table1[[#This Row],[Broad Group]],I398)))</f>
        <v>25-1190</v>
      </c>
      <c r="J3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Occupation]],J398))))</f>
        <v>n/a</v>
      </c>
      <c r="K399" s="2" t="str">
        <f>Table1[[#This Row],[Group Name]]</f>
        <v>Miscellaneous Postsecondary Teachers</v>
      </c>
    </row>
    <row r="400" spans="3:11" ht="25.5" x14ac:dyDescent="0.25">
      <c r="D400" s="5" t="s">
        <v>725</v>
      </c>
      <c r="E400" s="5" t="s">
        <v>726</v>
      </c>
      <c r="F4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00" s="2" t="str">
        <f>IF(Table1[[#This Row],[Type]]="Major",Table1[[#This Row],[Major Group]],G399)</f>
        <v>25-0000</v>
      </c>
      <c r="H400" s="2" t="str">
        <f>IF(Table1[[#This Row],[Major Group]]&lt;&gt;"","n/a",IF(Table1[[#This Row],[Minor Group]]&lt;&gt;"",Table1[[#This Row],[Minor Group]],H399))</f>
        <v>25-1000</v>
      </c>
      <c r="I400" s="2" t="str">
        <f>IF(Table1[[#This Row],[Major Group]]&lt;&gt;"","n/a",IF(Table1[[#This Row],[Minor Group]]&lt;&gt;"","n/a",IF(Table1[[#This Row],[Broad Group]]&lt;&gt;"",Table1[[#This Row],[Broad Group]],I399)))</f>
        <v>25-1190</v>
      </c>
      <c r="J4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Occupation]],J399))))</f>
        <v>25-1192</v>
      </c>
      <c r="K400" s="2" t="str">
        <f>Table1[[#This Row],[Group Name]]</f>
        <v>Family and Consumer Sciences Teachers, Postsecondary</v>
      </c>
    </row>
    <row r="401" spans="2:11" ht="25.5" x14ac:dyDescent="0.25">
      <c r="D401" s="5" t="s">
        <v>727</v>
      </c>
      <c r="E401" s="5" t="s">
        <v>728</v>
      </c>
      <c r="F4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01" s="2" t="str">
        <f>IF(Table1[[#This Row],[Type]]="Major",Table1[[#This Row],[Major Group]],G400)</f>
        <v>25-0000</v>
      </c>
      <c r="H401" s="2" t="str">
        <f>IF(Table1[[#This Row],[Major Group]]&lt;&gt;"","n/a",IF(Table1[[#This Row],[Minor Group]]&lt;&gt;"",Table1[[#This Row],[Minor Group]],H400))</f>
        <v>25-1000</v>
      </c>
      <c r="I401" s="2" t="str">
        <f>IF(Table1[[#This Row],[Major Group]]&lt;&gt;"","n/a",IF(Table1[[#This Row],[Minor Group]]&lt;&gt;"","n/a",IF(Table1[[#This Row],[Broad Group]]&lt;&gt;"",Table1[[#This Row],[Broad Group]],I400)))</f>
        <v>25-1190</v>
      </c>
      <c r="J4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Occupation]],J400))))</f>
        <v>25-1193</v>
      </c>
      <c r="K401" s="2" t="str">
        <f>Table1[[#This Row],[Group Name]]</f>
        <v>Recreation and Fitness Studies Teachers, Postsecondary</v>
      </c>
    </row>
    <row r="402" spans="2:11" ht="25.5" x14ac:dyDescent="0.25">
      <c r="D402" s="5" t="s">
        <v>729</v>
      </c>
      <c r="E402" s="5" t="s">
        <v>730</v>
      </c>
      <c r="F4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02" s="2" t="str">
        <f>IF(Table1[[#This Row],[Type]]="Major",Table1[[#This Row],[Major Group]],G401)</f>
        <v>25-0000</v>
      </c>
      <c r="H402" s="2" t="str">
        <f>IF(Table1[[#This Row],[Major Group]]&lt;&gt;"","n/a",IF(Table1[[#This Row],[Minor Group]]&lt;&gt;"",Table1[[#This Row],[Minor Group]],H401))</f>
        <v>25-1000</v>
      </c>
      <c r="I402" s="2" t="str">
        <f>IF(Table1[[#This Row],[Major Group]]&lt;&gt;"","n/a",IF(Table1[[#This Row],[Minor Group]]&lt;&gt;"","n/a",IF(Table1[[#This Row],[Broad Group]]&lt;&gt;"",Table1[[#This Row],[Broad Group]],I401)))</f>
        <v>25-1190</v>
      </c>
      <c r="J4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Occupation]],J401))))</f>
        <v>25-1194</v>
      </c>
      <c r="K402" s="2" t="str">
        <f>Table1[[#This Row],[Group Name]]</f>
        <v>Career/Technical Education Teachers, Postsecondary</v>
      </c>
    </row>
    <row r="403" spans="2:11" x14ac:dyDescent="0.25">
      <c r="D403" s="5" t="s">
        <v>731</v>
      </c>
      <c r="E403" s="5" t="s">
        <v>732</v>
      </c>
      <c r="F4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03" s="2" t="str">
        <f>IF(Table1[[#This Row],[Type]]="Major",Table1[[#This Row],[Major Group]],G402)</f>
        <v>25-0000</v>
      </c>
      <c r="H403" s="2" t="str">
        <f>IF(Table1[[#This Row],[Major Group]]&lt;&gt;"","n/a",IF(Table1[[#This Row],[Minor Group]]&lt;&gt;"",Table1[[#This Row],[Minor Group]],H402))</f>
        <v>25-1000</v>
      </c>
      <c r="I403" s="2" t="str">
        <f>IF(Table1[[#This Row],[Major Group]]&lt;&gt;"","n/a",IF(Table1[[#This Row],[Minor Group]]&lt;&gt;"","n/a",IF(Table1[[#This Row],[Broad Group]]&lt;&gt;"",Table1[[#This Row],[Broad Group]],I402)))</f>
        <v>25-1190</v>
      </c>
      <c r="J4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Occupation]],J402))))</f>
        <v>25-1199</v>
      </c>
      <c r="K403" s="2" t="str">
        <f>Table1[[#This Row],[Group Name]]</f>
        <v>Postsecondary Teachers, All Other</v>
      </c>
    </row>
    <row r="404" spans="2:11" x14ac:dyDescent="0.25">
      <c r="B404" s="3" t="s">
        <v>733</v>
      </c>
      <c r="E404" s="3" t="s">
        <v>734</v>
      </c>
      <c r="F4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404" s="2" t="str">
        <f>IF(Table1[[#This Row],[Type]]="Major",Table1[[#This Row],[Major Group]],G403)</f>
        <v>25-0000</v>
      </c>
      <c r="H404" s="2" t="str">
        <f>IF(Table1[[#This Row],[Major Group]]&lt;&gt;"","n/a",IF(Table1[[#This Row],[Minor Group]]&lt;&gt;"",Table1[[#This Row],[Minor Group]],H403))</f>
        <v>25-2000</v>
      </c>
      <c r="I404" s="2" t="str">
        <f>IF(Table1[[#This Row],[Major Group]]&lt;&gt;"","n/a",IF(Table1[[#This Row],[Minor Group]]&lt;&gt;"","n/a",IF(Table1[[#This Row],[Broad Group]]&lt;&gt;"",Table1[[#This Row],[Broad Group]],I403)))</f>
        <v>n/a</v>
      </c>
      <c r="J4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Occupation]],J403))))</f>
        <v>n/a</v>
      </c>
      <c r="K404" s="2" t="str">
        <f>Table1[[#This Row],[Group Name]]</f>
        <v>Preschool, Elementary, Middle, Secondary, and Special Education Teachers</v>
      </c>
    </row>
    <row r="405" spans="2:11" ht="30" x14ac:dyDescent="0.25">
      <c r="C405" s="1" t="s">
        <v>735</v>
      </c>
      <c r="E405" s="1" t="s">
        <v>736</v>
      </c>
      <c r="F4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05" s="2" t="str">
        <f>IF(Table1[[#This Row],[Type]]="Major",Table1[[#This Row],[Major Group]],G404)</f>
        <v>25-0000</v>
      </c>
      <c r="H405" s="2" t="str">
        <f>IF(Table1[[#This Row],[Major Group]]&lt;&gt;"","n/a",IF(Table1[[#This Row],[Minor Group]]&lt;&gt;"",Table1[[#This Row],[Minor Group]],H404))</f>
        <v>25-2000</v>
      </c>
      <c r="I405" s="2" t="str">
        <f>IF(Table1[[#This Row],[Major Group]]&lt;&gt;"","n/a",IF(Table1[[#This Row],[Minor Group]]&lt;&gt;"","n/a",IF(Table1[[#This Row],[Broad Group]]&lt;&gt;"",Table1[[#This Row],[Broad Group]],I404)))</f>
        <v>25-2010</v>
      </c>
      <c r="J4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Occupation]],J404))))</f>
        <v>n/a</v>
      </c>
      <c r="K405" s="2" t="str">
        <f>Table1[[#This Row],[Group Name]]</f>
        <v>Preschool and Kindergarten Teachers</v>
      </c>
    </row>
    <row r="406" spans="2:11" ht="25.5" x14ac:dyDescent="0.25">
      <c r="D406" s="5" t="s">
        <v>737</v>
      </c>
      <c r="E406" s="5" t="s">
        <v>738</v>
      </c>
      <c r="F4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06" s="2" t="str">
        <f>IF(Table1[[#This Row],[Type]]="Major",Table1[[#This Row],[Major Group]],G405)</f>
        <v>25-0000</v>
      </c>
      <c r="H406" s="2" t="str">
        <f>IF(Table1[[#This Row],[Major Group]]&lt;&gt;"","n/a",IF(Table1[[#This Row],[Minor Group]]&lt;&gt;"",Table1[[#This Row],[Minor Group]],H405))</f>
        <v>25-2000</v>
      </c>
      <c r="I406" s="2" t="str">
        <f>IF(Table1[[#This Row],[Major Group]]&lt;&gt;"","n/a",IF(Table1[[#This Row],[Minor Group]]&lt;&gt;"","n/a",IF(Table1[[#This Row],[Broad Group]]&lt;&gt;"",Table1[[#This Row],[Broad Group]],I405)))</f>
        <v>25-2010</v>
      </c>
      <c r="J4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Occupation]],J405))))</f>
        <v>25-2011</v>
      </c>
      <c r="K406" s="2" t="str">
        <f>Table1[[#This Row],[Group Name]]</f>
        <v>Preschool Teachers, Except Special Education</v>
      </c>
    </row>
    <row r="407" spans="2:11" ht="25.5" x14ac:dyDescent="0.25">
      <c r="D407" s="5" t="s">
        <v>739</v>
      </c>
      <c r="E407" s="5" t="s">
        <v>740</v>
      </c>
      <c r="F4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07" s="2" t="str">
        <f>IF(Table1[[#This Row],[Type]]="Major",Table1[[#This Row],[Major Group]],G406)</f>
        <v>25-0000</v>
      </c>
      <c r="H407" s="2" t="str">
        <f>IF(Table1[[#This Row],[Major Group]]&lt;&gt;"","n/a",IF(Table1[[#This Row],[Minor Group]]&lt;&gt;"",Table1[[#This Row],[Minor Group]],H406))</f>
        <v>25-2000</v>
      </c>
      <c r="I407" s="2" t="str">
        <f>IF(Table1[[#This Row],[Major Group]]&lt;&gt;"","n/a",IF(Table1[[#This Row],[Minor Group]]&lt;&gt;"","n/a",IF(Table1[[#This Row],[Broad Group]]&lt;&gt;"",Table1[[#This Row],[Broad Group]],I406)))</f>
        <v>25-2010</v>
      </c>
      <c r="J4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Occupation]],J406))))</f>
        <v>25-2012</v>
      </c>
      <c r="K407" s="2" t="str">
        <f>Table1[[#This Row],[Group Name]]</f>
        <v>Kindergarten Teachers, Except Special Education</v>
      </c>
    </row>
    <row r="408" spans="2:11" ht="30" x14ac:dyDescent="0.25">
      <c r="C408" s="1" t="s">
        <v>741</v>
      </c>
      <c r="E408" s="1" t="s">
        <v>742</v>
      </c>
      <c r="F4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08" s="2" t="str">
        <f>IF(Table1[[#This Row],[Type]]="Major",Table1[[#This Row],[Major Group]],G407)</f>
        <v>25-0000</v>
      </c>
      <c r="H408" s="2" t="str">
        <f>IF(Table1[[#This Row],[Major Group]]&lt;&gt;"","n/a",IF(Table1[[#This Row],[Minor Group]]&lt;&gt;"",Table1[[#This Row],[Minor Group]],H407))</f>
        <v>25-2000</v>
      </c>
      <c r="I408" s="2" t="str">
        <f>IF(Table1[[#This Row],[Major Group]]&lt;&gt;"","n/a",IF(Table1[[#This Row],[Minor Group]]&lt;&gt;"","n/a",IF(Table1[[#This Row],[Broad Group]]&lt;&gt;"",Table1[[#This Row],[Broad Group]],I407)))</f>
        <v>25-2020</v>
      </c>
      <c r="J4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Occupation]],J407))))</f>
        <v>n/a</v>
      </c>
      <c r="K408" s="2" t="str">
        <f>Table1[[#This Row],[Group Name]]</f>
        <v>Elementary and Middle School Teachers</v>
      </c>
    </row>
    <row r="409" spans="2:11" ht="25.5" x14ac:dyDescent="0.25">
      <c r="D409" s="5" t="s">
        <v>743</v>
      </c>
      <c r="E409" s="5" t="s">
        <v>744</v>
      </c>
      <c r="F4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09" s="2" t="str">
        <f>IF(Table1[[#This Row],[Type]]="Major",Table1[[#This Row],[Major Group]],G408)</f>
        <v>25-0000</v>
      </c>
      <c r="H409" s="2" t="str">
        <f>IF(Table1[[#This Row],[Major Group]]&lt;&gt;"","n/a",IF(Table1[[#This Row],[Minor Group]]&lt;&gt;"",Table1[[#This Row],[Minor Group]],H408))</f>
        <v>25-2000</v>
      </c>
      <c r="I409" s="2" t="str">
        <f>IF(Table1[[#This Row],[Major Group]]&lt;&gt;"","n/a",IF(Table1[[#This Row],[Minor Group]]&lt;&gt;"","n/a",IF(Table1[[#This Row],[Broad Group]]&lt;&gt;"",Table1[[#This Row],[Broad Group]],I408)))</f>
        <v>25-2020</v>
      </c>
      <c r="J4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Occupation]],J408))))</f>
        <v>25-2021</v>
      </c>
      <c r="K409" s="2" t="str">
        <f>Table1[[#This Row],[Group Name]]</f>
        <v>Elementary School Teachers, Except Special Education</v>
      </c>
    </row>
    <row r="410" spans="2:11" ht="38.25" x14ac:dyDescent="0.25">
      <c r="D410" s="5" t="s">
        <v>745</v>
      </c>
      <c r="E410" s="5" t="s">
        <v>746</v>
      </c>
      <c r="F4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0" s="2" t="str">
        <f>IF(Table1[[#This Row],[Type]]="Major",Table1[[#This Row],[Major Group]],G409)</f>
        <v>25-0000</v>
      </c>
      <c r="H410" s="2" t="str">
        <f>IF(Table1[[#This Row],[Major Group]]&lt;&gt;"","n/a",IF(Table1[[#This Row],[Minor Group]]&lt;&gt;"",Table1[[#This Row],[Minor Group]],H409))</f>
        <v>25-2000</v>
      </c>
      <c r="I410" s="2" t="str">
        <f>IF(Table1[[#This Row],[Major Group]]&lt;&gt;"","n/a",IF(Table1[[#This Row],[Minor Group]]&lt;&gt;"","n/a",IF(Table1[[#This Row],[Broad Group]]&lt;&gt;"",Table1[[#This Row],[Broad Group]],I409)))</f>
        <v>25-2020</v>
      </c>
      <c r="J4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Occupation]],J409))))</f>
        <v>25-2022</v>
      </c>
      <c r="K410" s="2" t="str">
        <f>Table1[[#This Row],[Group Name]]</f>
        <v>Middle School Teachers, Except Special and Career/Technical Education</v>
      </c>
    </row>
    <row r="411" spans="2:11" ht="25.5" x14ac:dyDescent="0.25">
      <c r="D411" s="5" t="s">
        <v>747</v>
      </c>
      <c r="E411" s="5" t="s">
        <v>748</v>
      </c>
      <c r="F4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1" s="2" t="str">
        <f>IF(Table1[[#This Row],[Type]]="Major",Table1[[#This Row],[Major Group]],G410)</f>
        <v>25-0000</v>
      </c>
      <c r="H411" s="2" t="str">
        <f>IF(Table1[[#This Row],[Major Group]]&lt;&gt;"","n/a",IF(Table1[[#This Row],[Minor Group]]&lt;&gt;"",Table1[[#This Row],[Minor Group]],H410))</f>
        <v>25-2000</v>
      </c>
      <c r="I411" s="2" t="str">
        <f>IF(Table1[[#This Row],[Major Group]]&lt;&gt;"","n/a",IF(Table1[[#This Row],[Minor Group]]&lt;&gt;"","n/a",IF(Table1[[#This Row],[Broad Group]]&lt;&gt;"",Table1[[#This Row],[Broad Group]],I410)))</f>
        <v>25-2020</v>
      </c>
      <c r="J4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Occupation]],J410))))</f>
        <v>25-2023</v>
      </c>
      <c r="K411" s="2" t="str">
        <f>Table1[[#This Row],[Group Name]]</f>
        <v>Career/Technical Education Teachers, Middle School</v>
      </c>
    </row>
    <row r="412" spans="2:11" x14ac:dyDescent="0.25">
      <c r="C412" s="1" t="s">
        <v>749</v>
      </c>
      <c r="E412" s="1" t="s">
        <v>750</v>
      </c>
      <c r="F4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12" s="2" t="str">
        <f>IF(Table1[[#This Row],[Type]]="Major",Table1[[#This Row],[Major Group]],G411)</f>
        <v>25-0000</v>
      </c>
      <c r="H412" s="2" t="str">
        <f>IF(Table1[[#This Row],[Major Group]]&lt;&gt;"","n/a",IF(Table1[[#This Row],[Minor Group]]&lt;&gt;"",Table1[[#This Row],[Minor Group]],H411))</f>
        <v>25-2000</v>
      </c>
      <c r="I412" s="2" t="str">
        <f>IF(Table1[[#This Row],[Major Group]]&lt;&gt;"","n/a",IF(Table1[[#This Row],[Minor Group]]&lt;&gt;"","n/a",IF(Table1[[#This Row],[Broad Group]]&lt;&gt;"",Table1[[#This Row],[Broad Group]],I411)))</f>
        <v>25-2030</v>
      </c>
      <c r="J4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Occupation]],J411))))</f>
        <v>n/a</v>
      </c>
      <c r="K412" s="2" t="str">
        <f>Table1[[#This Row],[Group Name]]</f>
        <v>Secondary School Teachers</v>
      </c>
    </row>
    <row r="413" spans="2:11" ht="38.25" x14ac:dyDescent="0.25">
      <c r="D413" s="5" t="s">
        <v>751</v>
      </c>
      <c r="E413" s="5" t="s">
        <v>752</v>
      </c>
      <c r="F4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3" s="2" t="str">
        <f>IF(Table1[[#This Row],[Type]]="Major",Table1[[#This Row],[Major Group]],G412)</f>
        <v>25-0000</v>
      </c>
      <c r="H413" s="2" t="str">
        <f>IF(Table1[[#This Row],[Major Group]]&lt;&gt;"","n/a",IF(Table1[[#This Row],[Minor Group]]&lt;&gt;"",Table1[[#This Row],[Minor Group]],H412))</f>
        <v>25-2000</v>
      </c>
      <c r="I413" s="2" t="str">
        <f>IF(Table1[[#This Row],[Major Group]]&lt;&gt;"","n/a",IF(Table1[[#This Row],[Minor Group]]&lt;&gt;"","n/a",IF(Table1[[#This Row],[Broad Group]]&lt;&gt;"",Table1[[#This Row],[Broad Group]],I412)))</f>
        <v>25-2030</v>
      </c>
      <c r="J4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Occupation]],J412))))</f>
        <v>25-2031</v>
      </c>
      <c r="K413" s="2" t="str">
        <f>Table1[[#This Row],[Group Name]]</f>
        <v>Secondary School Teachers, Except Special and Career/Technical Education</v>
      </c>
    </row>
    <row r="414" spans="2:11" ht="25.5" x14ac:dyDescent="0.25">
      <c r="D414" s="5" t="s">
        <v>753</v>
      </c>
      <c r="E414" s="5" t="s">
        <v>754</v>
      </c>
      <c r="F4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4" s="2" t="str">
        <f>IF(Table1[[#This Row],[Type]]="Major",Table1[[#This Row],[Major Group]],G413)</f>
        <v>25-0000</v>
      </c>
      <c r="H414" s="2" t="str">
        <f>IF(Table1[[#This Row],[Major Group]]&lt;&gt;"","n/a",IF(Table1[[#This Row],[Minor Group]]&lt;&gt;"",Table1[[#This Row],[Minor Group]],H413))</f>
        <v>25-2000</v>
      </c>
      <c r="I414" s="2" t="str">
        <f>IF(Table1[[#This Row],[Major Group]]&lt;&gt;"","n/a",IF(Table1[[#This Row],[Minor Group]]&lt;&gt;"","n/a",IF(Table1[[#This Row],[Broad Group]]&lt;&gt;"",Table1[[#This Row],[Broad Group]],I413)))</f>
        <v>25-2030</v>
      </c>
      <c r="J4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Occupation]],J413))))</f>
        <v>25-2032</v>
      </c>
      <c r="K414" s="2" t="str">
        <f>Table1[[#This Row],[Group Name]]</f>
        <v>Career/Technical Education Teachers, Secondary School</v>
      </c>
    </row>
    <row r="415" spans="2:11" x14ac:dyDescent="0.25">
      <c r="C415" s="1" t="s">
        <v>755</v>
      </c>
      <c r="E415" s="1" t="s">
        <v>756</v>
      </c>
      <c r="F4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15" s="2" t="str">
        <f>IF(Table1[[#This Row],[Type]]="Major",Table1[[#This Row],[Major Group]],G414)</f>
        <v>25-0000</v>
      </c>
      <c r="H415" s="2" t="str">
        <f>IF(Table1[[#This Row],[Major Group]]&lt;&gt;"","n/a",IF(Table1[[#This Row],[Minor Group]]&lt;&gt;"",Table1[[#This Row],[Minor Group]],H414))</f>
        <v>25-2000</v>
      </c>
      <c r="I415" s="2" t="str">
        <f>IF(Table1[[#This Row],[Major Group]]&lt;&gt;"","n/a",IF(Table1[[#This Row],[Minor Group]]&lt;&gt;"","n/a",IF(Table1[[#This Row],[Broad Group]]&lt;&gt;"",Table1[[#This Row],[Broad Group]],I414)))</f>
        <v>25-2050</v>
      </c>
      <c r="J4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Occupation]],J414))))</f>
        <v>n/a</v>
      </c>
      <c r="K415" s="2" t="str">
        <f>Table1[[#This Row],[Group Name]]</f>
        <v>Special Education Teachers</v>
      </c>
    </row>
    <row r="416" spans="2:11" x14ac:dyDescent="0.25">
      <c r="D416" s="5" t="s">
        <v>757</v>
      </c>
      <c r="E416" s="5" t="s">
        <v>758</v>
      </c>
      <c r="F4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6" s="2" t="str">
        <f>IF(Table1[[#This Row],[Type]]="Major",Table1[[#This Row],[Major Group]],G415)</f>
        <v>25-0000</v>
      </c>
      <c r="H416" s="2" t="str">
        <f>IF(Table1[[#This Row],[Major Group]]&lt;&gt;"","n/a",IF(Table1[[#This Row],[Minor Group]]&lt;&gt;"",Table1[[#This Row],[Minor Group]],H415))</f>
        <v>25-2000</v>
      </c>
      <c r="I416" s="2" t="str">
        <f>IF(Table1[[#This Row],[Major Group]]&lt;&gt;"","n/a",IF(Table1[[#This Row],[Minor Group]]&lt;&gt;"","n/a",IF(Table1[[#This Row],[Broad Group]]&lt;&gt;"",Table1[[#This Row],[Broad Group]],I415)))</f>
        <v>25-2050</v>
      </c>
      <c r="J4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Occupation]],J415))))</f>
        <v>25-2051</v>
      </c>
      <c r="K416" s="2" t="str">
        <f>Table1[[#This Row],[Group Name]]</f>
        <v>Special Education Teachers, Preschool</v>
      </c>
    </row>
    <row r="417" spans="2:11" ht="25.5" x14ac:dyDescent="0.25">
      <c r="D417" s="5" t="s">
        <v>759</v>
      </c>
      <c r="E417" s="5" t="s">
        <v>760</v>
      </c>
      <c r="F4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7" s="2" t="str">
        <f>IF(Table1[[#This Row],[Type]]="Major",Table1[[#This Row],[Major Group]],G416)</f>
        <v>25-0000</v>
      </c>
      <c r="H417" s="2" t="str">
        <f>IF(Table1[[#This Row],[Major Group]]&lt;&gt;"","n/a",IF(Table1[[#This Row],[Minor Group]]&lt;&gt;"",Table1[[#This Row],[Minor Group]],H416))</f>
        <v>25-2000</v>
      </c>
      <c r="I417" s="2" t="str">
        <f>IF(Table1[[#This Row],[Major Group]]&lt;&gt;"","n/a",IF(Table1[[#This Row],[Minor Group]]&lt;&gt;"","n/a",IF(Table1[[#This Row],[Broad Group]]&lt;&gt;"",Table1[[#This Row],[Broad Group]],I416)))</f>
        <v>25-2050</v>
      </c>
      <c r="J4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Occupation]],J416))))</f>
        <v>25-2055</v>
      </c>
      <c r="K417" s="2" t="str">
        <f>Table1[[#This Row],[Group Name]]</f>
        <v>Special Education Teachers, Kindergarten</v>
      </c>
    </row>
    <row r="418" spans="2:11" ht="25.5" x14ac:dyDescent="0.25">
      <c r="D418" s="5" t="s">
        <v>761</v>
      </c>
      <c r="E418" s="5" t="s">
        <v>762</v>
      </c>
      <c r="F4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8" s="2" t="str">
        <f>IF(Table1[[#This Row],[Type]]="Major",Table1[[#This Row],[Major Group]],G417)</f>
        <v>25-0000</v>
      </c>
      <c r="H418" s="2" t="str">
        <f>IF(Table1[[#This Row],[Major Group]]&lt;&gt;"","n/a",IF(Table1[[#This Row],[Minor Group]]&lt;&gt;"",Table1[[#This Row],[Minor Group]],H417))</f>
        <v>25-2000</v>
      </c>
      <c r="I418" s="2" t="str">
        <f>IF(Table1[[#This Row],[Major Group]]&lt;&gt;"","n/a",IF(Table1[[#This Row],[Minor Group]]&lt;&gt;"","n/a",IF(Table1[[#This Row],[Broad Group]]&lt;&gt;"",Table1[[#This Row],[Broad Group]],I417)))</f>
        <v>25-2050</v>
      </c>
      <c r="J4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Occupation]],J417))))</f>
        <v>25-2056</v>
      </c>
      <c r="K418" s="2" t="str">
        <f>Table1[[#This Row],[Group Name]]</f>
        <v>Special Education Teachers, Elementary School</v>
      </c>
    </row>
    <row r="419" spans="2:11" ht="25.5" x14ac:dyDescent="0.25">
      <c r="D419" s="5" t="s">
        <v>763</v>
      </c>
      <c r="E419" s="5" t="s">
        <v>2633</v>
      </c>
      <c r="F4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19" s="2" t="str">
        <f>IF(Table1[[#This Row],[Type]]="Major",Table1[[#This Row],[Major Group]],G418)</f>
        <v>25-0000</v>
      </c>
      <c r="H419" s="2" t="str">
        <f>IF(Table1[[#This Row],[Major Group]]&lt;&gt;"","n/a",IF(Table1[[#This Row],[Minor Group]]&lt;&gt;"",Table1[[#This Row],[Minor Group]],H418))</f>
        <v>25-2000</v>
      </c>
      <c r="I419" s="2" t="str">
        <f>IF(Table1[[#This Row],[Major Group]]&lt;&gt;"","n/a",IF(Table1[[#This Row],[Minor Group]]&lt;&gt;"","n/a",IF(Table1[[#This Row],[Broad Group]]&lt;&gt;"",Table1[[#This Row],[Broad Group]],I418)))</f>
        <v>25-2050</v>
      </c>
      <c r="J4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Occupation]],J418))))</f>
        <v>25-2057</v>
      </c>
      <c r="K419" s="2" t="str">
        <f>Table1[[#This Row],[Group Name]]</f>
        <v>Special Education Teachers, Middle School</v>
      </c>
    </row>
    <row r="420" spans="2:11" ht="25.5" x14ac:dyDescent="0.25">
      <c r="D420" s="5" t="s">
        <v>764</v>
      </c>
      <c r="E420" s="5" t="s">
        <v>765</v>
      </c>
      <c r="F4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20" s="2" t="str">
        <f>IF(Table1[[#This Row],[Type]]="Major",Table1[[#This Row],[Major Group]],G419)</f>
        <v>25-0000</v>
      </c>
      <c r="H420" s="2" t="str">
        <f>IF(Table1[[#This Row],[Major Group]]&lt;&gt;"","n/a",IF(Table1[[#This Row],[Minor Group]]&lt;&gt;"",Table1[[#This Row],[Minor Group]],H419))</f>
        <v>25-2000</v>
      </c>
      <c r="I420" s="2" t="str">
        <f>IF(Table1[[#This Row],[Major Group]]&lt;&gt;"","n/a",IF(Table1[[#This Row],[Minor Group]]&lt;&gt;"","n/a",IF(Table1[[#This Row],[Broad Group]]&lt;&gt;"",Table1[[#This Row],[Broad Group]],I419)))</f>
        <v>25-2050</v>
      </c>
      <c r="J4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Occupation]],J419))))</f>
        <v>25-2058</v>
      </c>
      <c r="K420" s="2" t="str">
        <f>Table1[[#This Row],[Group Name]]</f>
        <v>Special Education Teachers, Secondary School</v>
      </c>
    </row>
    <row r="421" spans="2:11" x14ac:dyDescent="0.25">
      <c r="D421" s="5" t="s">
        <v>766</v>
      </c>
      <c r="E421" s="5" t="s">
        <v>767</v>
      </c>
      <c r="F4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21" s="2" t="str">
        <f>IF(Table1[[#This Row],[Type]]="Major",Table1[[#This Row],[Major Group]],G420)</f>
        <v>25-0000</v>
      </c>
      <c r="H421" s="2" t="str">
        <f>IF(Table1[[#This Row],[Major Group]]&lt;&gt;"","n/a",IF(Table1[[#This Row],[Minor Group]]&lt;&gt;"",Table1[[#This Row],[Minor Group]],H420))</f>
        <v>25-2000</v>
      </c>
      <c r="I421" s="2" t="str">
        <f>IF(Table1[[#This Row],[Major Group]]&lt;&gt;"","n/a",IF(Table1[[#This Row],[Minor Group]]&lt;&gt;"","n/a",IF(Table1[[#This Row],[Broad Group]]&lt;&gt;"",Table1[[#This Row],[Broad Group]],I420)))</f>
        <v>25-2050</v>
      </c>
      <c r="J4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Occupation]],J420))))</f>
        <v>25-2059</v>
      </c>
      <c r="K421" s="2" t="str">
        <f>Table1[[#This Row],[Group Name]]</f>
        <v>Special Education Teachers, All Other</v>
      </c>
    </row>
    <row r="422" spans="2:11" x14ac:dyDescent="0.25">
      <c r="B422" s="3" t="s">
        <v>768</v>
      </c>
      <c r="E422" s="3" t="s">
        <v>769</v>
      </c>
      <c r="F4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422" s="2" t="str">
        <f>IF(Table1[[#This Row],[Type]]="Major",Table1[[#This Row],[Major Group]],G421)</f>
        <v>25-0000</v>
      </c>
      <c r="H422" s="2" t="str">
        <f>IF(Table1[[#This Row],[Major Group]]&lt;&gt;"","n/a",IF(Table1[[#This Row],[Minor Group]]&lt;&gt;"",Table1[[#This Row],[Minor Group]],H421))</f>
        <v>25-3000</v>
      </c>
      <c r="I422" s="2" t="str">
        <f>IF(Table1[[#This Row],[Major Group]]&lt;&gt;"","n/a",IF(Table1[[#This Row],[Minor Group]]&lt;&gt;"","n/a",IF(Table1[[#This Row],[Broad Group]]&lt;&gt;"",Table1[[#This Row],[Broad Group]],I421)))</f>
        <v>n/a</v>
      </c>
      <c r="J4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Occupation]],J421))))</f>
        <v>n/a</v>
      </c>
      <c r="K422" s="2" t="str">
        <f>Table1[[#This Row],[Group Name]]</f>
        <v>Other Teachers and Instructors</v>
      </c>
    </row>
    <row r="423" spans="2:11" ht="45" x14ac:dyDescent="0.25">
      <c r="C423" s="1" t="s">
        <v>770</v>
      </c>
      <c r="E423" s="1" t="s">
        <v>771</v>
      </c>
      <c r="F4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23" s="2" t="str">
        <f>IF(Table1[[#This Row],[Type]]="Major",Table1[[#This Row],[Major Group]],G422)</f>
        <v>25-0000</v>
      </c>
      <c r="H423" s="2" t="str">
        <f>IF(Table1[[#This Row],[Major Group]]&lt;&gt;"","n/a",IF(Table1[[#This Row],[Minor Group]]&lt;&gt;"",Table1[[#This Row],[Minor Group]],H422))</f>
        <v>25-3000</v>
      </c>
      <c r="I423" s="2" t="str">
        <f>IF(Table1[[#This Row],[Major Group]]&lt;&gt;"","n/a",IF(Table1[[#This Row],[Minor Group]]&lt;&gt;"","n/a",IF(Table1[[#This Row],[Broad Group]]&lt;&gt;"",Table1[[#This Row],[Broad Group]],I422)))</f>
        <v>25-3010</v>
      </c>
      <c r="J4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Occupation]],J422))))</f>
        <v>n/a</v>
      </c>
      <c r="K423" s="2" t="str">
        <f>Table1[[#This Row],[Group Name]]</f>
        <v>Adult Basic Education, Adult Secondary Education, and English as a Second Language Instructors</v>
      </c>
    </row>
    <row r="424" spans="2:11" ht="38.25" x14ac:dyDescent="0.25">
      <c r="D424" s="5" t="s">
        <v>772</v>
      </c>
      <c r="E424" s="5" t="s">
        <v>771</v>
      </c>
      <c r="F4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24" s="2" t="str">
        <f>IF(Table1[[#This Row],[Type]]="Major",Table1[[#This Row],[Major Group]],G423)</f>
        <v>25-0000</v>
      </c>
      <c r="H424" s="2" t="str">
        <f>IF(Table1[[#This Row],[Major Group]]&lt;&gt;"","n/a",IF(Table1[[#This Row],[Minor Group]]&lt;&gt;"",Table1[[#This Row],[Minor Group]],H423))</f>
        <v>25-3000</v>
      </c>
      <c r="I424" s="2" t="str">
        <f>IF(Table1[[#This Row],[Major Group]]&lt;&gt;"","n/a",IF(Table1[[#This Row],[Minor Group]]&lt;&gt;"","n/a",IF(Table1[[#This Row],[Broad Group]]&lt;&gt;"",Table1[[#This Row],[Broad Group]],I423)))</f>
        <v>25-3010</v>
      </c>
      <c r="J4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Occupation]],J423))))</f>
        <v>25-3011</v>
      </c>
      <c r="K424" s="2" t="str">
        <f>Table1[[#This Row],[Group Name]]</f>
        <v>Adult Basic Education, Adult Secondary Education, and English as a Second Language Instructors</v>
      </c>
    </row>
    <row r="425" spans="2:11" x14ac:dyDescent="0.25">
      <c r="C425" s="1" t="s">
        <v>773</v>
      </c>
      <c r="E425" s="1" t="s">
        <v>774</v>
      </c>
      <c r="F4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25" s="2" t="str">
        <f>IF(Table1[[#This Row],[Type]]="Major",Table1[[#This Row],[Major Group]],G424)</f>
        <v>25-0000</v>
      </c>
      <c r="H425" s="2" t="str">
        <f>IF(Table1[[#This Row],[Major Group]]&lt;&gt;"","n/a",IF(Table1[[#This Row],[Minor Group]]&lt;&gt;"",Table1[[#This Row],[Minor Group]],H424))</f>
        <v>25-3000</v>
      </c>
      <c r="I425" s="2" t="str">
        <f>IF(Table1[[#This Row],[Major Group]]&lt;&gt;"","n/a",IF(Table1[[#This Row],[Minor Group]]&lt;&gt;"","n/a",IF(Table1[[#This Row],[Broad Group]]&lt;&gt;"",Table1[[#This Row],[Broad Group]],I424)))</f>
        <v>25-3020</v>
      </c>
      <c r="J4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Occupation]],J424))))</f>
        <v>n/a</v>
      </c>
      <c r="K425" s="2" t="str">
        <f>Table1[[#This Row],[Group Name]]</f>
        <v>Self-Enrichment Teachers</v>
      </c>
    </row>
    <row r="426" spans="2:11" x14ac:dyDescent="0.25">
      <c r="D426" s="5" t="s">
        <v>775</v>
      </c>
      <c r="E426" s="5" t="s">
        <v>774</v>
      </c>
      <c r="F4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26" s="2" t="str">
        <f>IF(Table1[[#This Row],[Type]]="Major",Table1[[#This Row],[Major Group]],G425)</f>
        <v>25-0000</v>
      </c>
      <c r="H426" s="2" t="str">
        <f>IF(Table1[[#This Row],[Major Group]]&lt;&gt;"","n/a",IF(Table1[[#This Row],[Minor Group]]&lt;&gt;"",Table1[[#This Row],[Minor Group]],H425))</f>
        <v>25-3000</v>
      </c>
      <c r="I426" s="2" t="str">
        <f>IF(Table1[[#This Row],[Major Group]]&lt;&gt;"","n/a",IF(Table1[[#This Row],[Minor Group]]&lt;&gt;"","n/a",IF(Table1[[#This Row],[Broad Group]]&lt;&gt;"",Table1[[#This Row],[Broad Group]],I425)))</f>
        <v>25-3020</v>
      </c>
      <c r="J4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Occupation]],J425))))</f>
        <v>25-3021</v>
      </c>
      <c r="K426" s="2" t="str">
        <f>Table1[[#This Row],[Group Name]]</f>
        <v>Self-Enrichment Teachers</v>
      </c>
    </row>
    <row r="427" spans="2:11" x14ac:dyDescent="0.25">
      <c r="C427" s="1" t="s">
        <v>776</v>
      </c>
      <c r="E427" s="1" t="s">
        <v>777</v>
      </c>
      <c r="F4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27" s="2" t="str">
        <f>IF(Table1[[#This Row],[Type]]="Major",Table1[[#This Row],[Major Group]],G426)</f>
        <v>25-0000</v>
      </c>
      <c r="H427" s="2" t="str">
        <f>IF(Table1[[#This Row],[Major Group]]&lt;&gt;"","n/a",IF(Table1[[#This Row],[Minor Group]]&lt;&gt;"",Table1[[#This Row],[Minor Group]],H426))</f>
        <v>25-3000</v>
      </c>
      <c r="I427" s="2" t="str">
        <f>IF(Table1[[#This Row],[Major Group]]&lt;&gt;"","n/a",IF(Table1[[#This Row],[Minor Group]]&lt;&gt;"","n/a",IF(Table1[[#This Row],[Broad Group]]&lt;&gt;"",Table1[[#This Row],[Broad Group]],I426)))</f>
        <v>25-3030</v>
      </c>
      <c r="J4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Occupation]],J426))))</f>
        <v>n/a</v>
      </c>
      <c r="K427" s="2" t="str">
        <f>Table1[[#This Row],[Group Name]]</f>
        <v>Substitute Teachers, Short-Term</v>
      </c>
    </row>
    <row r="428" spans="2:11" x14ac:dyDescent="0.25">
      <c r="D428" s="5" t="s">
        <v>778</v>
      </c>
      <c r="E428" s="5" t="s">
        <v>777</v>
      </c>
      <c r="F4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28" s="2" t="str">
        <f>IF(Table1[[#This Row],[Type]]="Major",Table1[[#This Row],[Major Group]],G427)</f>
        <v>25-0000</v>
      </c>
      <c r="H428" s="2" t="str">
        <f>IF(Table1[[#This Row],[Major Group]]&lt;&gt;"","n/a",IF(Table1[[#This Row],[Minor Group]]&lt;&gt;"",Table1[[#This Row],[Minor Group]],H427))</f>
        <v>25-3000</v>
      </c>
      <c r="I428" s="2" t="str">
        <f>IF(Table1[[#This Row],[Major Group]]&lt;&gt;"","n/a",IF(Table1[[#This Row],[Minor Group]]&lt;&gt;"","n/a",IF(Table1[[#This Row],[Broad Group]]&lt;&gt;"",Table1[[#This Row],[Broad Group]],I427)))</f>
        <v>25-3030</v>
      </c>
      <c r="J4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Occupation]],J427))))</f>
        <v>25-3031</v>
      </c>
      <c r="K428" s="2" t="str">
        <f>Table1[[#This Row],[Group Name]]</f>
        <v>Substitute Teachers, Short-Term</v>
      </c>
    </row>
    <row r="429" spans="2:11" x14ac:dyDescent="0.25">
      <c r="C429" s="1" t="s">
        <v>779</v>
      </c>
      <c r="E429" s="1" t="s">
        <v>780</v>
      </c>
      <c r="F4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29" s="2" t="str">
        <f>IF(Table1[[#This Row],[Type]]="Major",Table1[[#This Row],[Major Group]],G428)</f>
        <v>25-0000</v>
      </c>
      <c r="H429" s="2" t="str">
        <f>IF(Table1[[#This Row],[Major Group]]&lt;&gt;"","n/a",IF(Table1[[#This Row],[Minor Group]]&lt;&gt;"",Table1[[#This Row],[Minor Group]],H428))</f>
        <v>25-3000</v>
      </c>
      <c r="I429" s="2" t="str">
        <f>IF(Table1[[#This Row],[Major Group]]&lt;&gt;"","n/a",IF(Table1[[#This Row],[Minor Group]]&lt;&gt;"","n/a",IF(Table1[[#This Row],[Broad Group]]&lt;&gt;"",Table1[[#This Row],[Broad Group]],I428)))</f>
        <v>25-3040</v>
      </c>
      <c r="J4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Occupation]],J428))))</f>
        <v>n/a</v>
      </c>
      <c r="K429" s="2" t="str">
        <f>Table1[[#This Row],[Group Name]]</f>
        <v>Tutors</v>
      </c>
    </row>
    <row r="430" spans="2:11" x14ac:dyDescent="0.25">
      <c r="D430" s="5" t="s">
        <v>781</v>
      </c>
      <c r="E430" s="5" t="s">
        <v>780</v>
      </c>
      <c r="F4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30" s="2" t="str">
        <f>IF(Table1[[#This Row],[Type]]="Major",Table1[[#This Row],[Major Group]],G429)</f>
        <v>25-0000</v>
      </c>
      <c r="H430" s="2" t="str">
        <f>IF(Table1[[#This Row],[Major Group]]&lt;&gt;"","n/a",IF(Table1[[#This Row],[Minor Group]]&lt;&gt;"",Table1[[#This Row],[Minor Group]],H429))</f>
        <v>25-3000</v>
      </c>
      <c r="I430" s="2" t="str">
        <f>IF(Table1[[#This Row],[Major Group]]&lt;&gt;"","n/a",IF(Table1[[#This Row],[Minor Group]]&lt;&gt;"","n/a",IF(Table1[[#This Row],[Broad Group]]&lt;&gt;"",Table1[[#This Row],[Broad Group]],I429)))</f>
        <v>25-3040</v>
      </c>
      <c r="J4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Occupation]],J429))))</f>
        <v>25-3041</v>
      </c>
      <c r="K430" s="2" t="str">
        <f>Table1[[#This Row],[Group Name]]</f>
        <v>Tutors</v>
      </c>
    </row>
    <row r="431" spans="2:11" ht="30" x14ac:dyDescent="0.25">
      <c r="C431" s="1" t="s">
        <v>782</v>
      </c>
      <c r="E431" s="1" t="s">
        <v>783</v>
      </c>
      <c r="F4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31" s="2" t="str">
        <f>IF(Table1[[#This Row],[Type]]="Major",Table1[[#This Row],[Major Group]],G430)</f>
        <v>25-0000</v>
      </c>
      <c r="H431" s="2" t="str">
        <f>IF(Table1[[#This Row],[Major Group]]&lt;&gt;"","n/a",IF(Table1[[#This Row],[Minor Group]]&lt;&gt;"",Table1[[#This Row],[Minor Group]],H430))</f>
        <v>25-3000</v>
      </c>
      <c r="I431" s="2" t="str">
        <f>IF(Table1[[#This Row],[Major Group]]&lt;&gt;"","n/a",IF(Table1[[#This Row],[Minor Group]]&lt;&gt;"","n/a",IF(Table1[[#This Row],[Broad Group]]&lt;&gt;"",Table1[[#This Row],[Broad Group]],I430)))</f>
        <v>25-3090</v>
      </c>
      <c r="J4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Occupation]],J430))))</f>
        <v>n/a</v>
      </c>
      <c r="K431" s="2" t="str">
        <f>Table1[[#This Row],[Group Name]]</f>
        <v>Miscellaneous Teachers and Instructors</v>
      </c>
    </row>
    <row r="432" spans="2:11" x14ac:dyDescent="0.25">
      <c r="D432" s="5" t="s">
        <v>784</v>
      </c>
      <c r="E432" s="5" t="s">
        <v>785</v>
      </c>
      <c r="F4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32" s="2" t="str">
        <f>IF(Table1[[#This Row],[Type]]="Major",Table1[[#This Row],[Major Group]],G431)</f>
        <v>25-0000</v>
      </c>
      <c r="H432" s="2" t="str">
        <f>IF(Table1[[#This Row],[Major Group]]&lt;&gt;"","n/a",IF(Table1[[#This Row],[Minor Group]]&lt;&gt;"",Table1[[#This Row],[Minor Group]],H431))</f>
        <v>25-3000</v>
      </c>
      <c r="I432" s="2" t="str">
        <f>IF(Table1[[#This Row],[Major Group]]&lt;&gt;"","n/a",IF(Table1[[#This Row],[Minor Group]]&lt;&gt;"","n/a",IF(Table1[[#This Row],[Broad Group]]&lt;&gt;"",Table1[[#This Row],[Broad Group]],I431)))</f>
        <v>25-3090</v>
      </c>
      <c r="J4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Occupation]],J431))))</f>
        <v>25-3099</v>
      </c>
      <c r="K432" s="2" t="str">
        <f>Table1[[#This Row],[Group Name]]</f>
        <v>Teachers and Instructors, All Other</v>
      </c>
    </row>
    <row r="433" spans="2:11" x14ac:dyDescent="0.25">
      <c r="B433" s="3" t="s">
        <v>786</v>
      </c>
      <c r="E433" s="3" t="s">
        <v>787</v>
      </c>
      <c r="F4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433" s="2" t="str">
        <f>IF(Table1[[#This Row],[Type]]="Major",Table1[[#This Row],[Major Group]],G432)</f>
        <v>25-0000</v>
      </c>
      <c r="H433" s="2" t="str">
        <f>IF(Table1[[#This Row],[Major Group]]&lt;&gt;"","n/a",IF(Table1[[#This Row],[Minor Group]]&lt;&gt;"",Table1[[#This Row],[Minor Group]],H432))</f>
        <v>25-4000</v>
      </c>
      <c r="I433" s="2" t="str">
        <f>IF(Table1[[#This Row],[Major Group]]&lt;&gt;"","n/a",IF(Table1[[#This Row],[Minor Group]]&lt;&gt;"","n/a",IF(Table1[[#This Row],[Broad Group]]&lt;&gt;"",Table1[[#This Row],[Broad Group]],I432)))</f>
        <v>n/a</v>
      </c>
      <c r="J4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Occupation]],J432))))</f>
        <v>n/a</v>
      </c>
      <c r="K433" s="2" t="str">
        <f>Table1[[#This Row],[Group Name]]</f>
        <v>Librarians, Curators, and Archivists</v>
      </c>
    </row>
    <row r="434" spans="2:11" ht="30" x14ac:dyDescent="0.25">
      <c r="C434" s="1" t="s">
        <v>788</v>
      </c>
      <c r="E434" s="1" t="s">
        <v>789</v>
      </c>
      <c r="F4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34" s="2" t="str">
        <f>IF(Table1[[#This Row],[Type]]="Major",Table1[[#This Row],[Major Group]],G433)</f>
        <v>25-0000</v>
      </c>
      <c r="H434" s="2" t="str">
        <f>IF(Table1[[#This Row],[Major Group]]&lt;&gt;"","n/a",IF(Table1[[#This Row],[Minor Group]]&lt;&gt;"",Table1[[#This Row],[Minor Group]],H433))</f>
        <v>25-4000</v>
      </c>
      <c r="I434" s="2" t="str">
        <f>IF(Table1[[#This Row],[Major Group]]&lt;&gt;"","n/a",IF(Table1[[#This Row],[Minor Group]]&lt;&gt;"","n/a",IF(Table1[[#This Row],[Broad Group]]&lt;&gt;"",Table1[[#This Row],[Broad Group]],I433)))</f>
        <v>25-4010</v>
      </c>
      <c r="J4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Occupation]],J433))))</f>
        <v>n/a</v>
      </c>
      <c r="K434" s="2" t="str">
        <f>Table1[[#This Row],[Group Name]]</f>
        <v>Archivists, Curators, and Museum Technicians</v>
      </c>
    </row>
    <row r="435" spans="2:11" x14ac:dyDescent="0.25">
      <c r="D435" s="5" t="s">
        <v>790</v>
      </c>
      <c r="E435" s="5" t="s">
        <v>791</v>
      </c>
      <c r="F4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35" s="2" t="str">
        <f>IF(Table1[[#This Row],[Type]]="Major",Table1[[#This Row],[Major Group]],G434)</f>
        <v>25-0000</v>
      </c>
      <c r="H435" s="2" t="str">
        <f>IF(Table1[[#This Row],[Major Group]]&lt;&gt;"","n/a",IF(Table1[[#This Row],[Minor Group]]&lt;&gt;"",Table1[[#This Row],[Minor Group]],H434))</f>
        <v>25-4000</v>
      </c>
      <c r="I435" s="2" t="str">
        <f>IF(Table1[[#This Row],[Major Group]]&lt;&gt;"","n/a",IF(Table1[[#This Row],[Minor Group]]&lt;&gt;"","n/a",IF(Table1[[#This Row],[Broad Group]]&lt;&gt;"",Table1[[#This Row],[Broad Group]],I434)))</f>
        <v>25-4010</v>
      </c>
      <c r="J4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Occupation]],J434))))</f>
        <v>25-4011</v>
      </c>
      <c r="K435" s="2" t="str">
        <f>Table1[[#This Row],[Group Name]]</f>
        <v>Archivists</v>
      </c>
    </row>
    <row r="436" spans="2:11" x14ac:dyDescent="0.25">
      <c r="D436" s="5" t="s">
        <v>792</v>
      </c>
      <c r="E436" s="5" t="s">
        <v>793</v>
      </c>
      <c r="F4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36" s="2" t="str">
        <f>IF(Table1[[#This Row],[Type]]="Major",Table1[[#This Row],[Major Group]],G435)</f>
        <v>25-0000</v>
      </c>
      <c r="H436" s="2" t="str">
        <f>IF(Table1[[#This Row],[Major Group]]&lt;&gt;"","n/a",IF(Table1[[#This Row],[Minor Group]]&lt;&gt;"",Table1[[#This Row],[Minor Group]],H435))</f>
        <v>25-4000</v>
      </c>
      <c r="I436" s="2" t="str">
        <f>IF(Table1[[#This Row],[Major Group]]&lt;&gt;"","n/a",IF(Table1[[#This Row],[Minor Group]]&lt;&gt;"","n/a",IF(Table1[[#This Row],[Broad Group]]&lt;&gt;"",Table1[[#This Row],[Broad Group]],I435)))</f>
        <v>25-4010</v>
      </c>
      <c r="J4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Occupation]],J435))))</f>
        <v>25-4012</v>
      </c>
      <c r="K436" s="2" t="str">
        <f>Table1[[#This Row],[Group Name]]</f>
        <v>Curators</v>
      </c>
    </row>
    <row r="437" spans="2:11" ht="25.5" x14ac:dyDescent="0.25">
      <c r="D437" s="5" t="s">
        <v>794</v>
      </c>
      <c r="E437" s="5" t="s">
        <v>795</v>
      </c>
      <c r="F4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37" s="2" t="str">
        <f>IF(Table1[[#This Row],[Type]]="Major",Table1[[#This Row],[Major Group]],G436)</f>
        <v>25-0000</v>
      </c>
      <c r="H437" s="2" t="str">
        <f>IF(Table1[[#This Row],[Major Group]]&lt;&gt;"","n/a",IF(Table1[[#This Row],[Minor Group]]&lt;&gt;"",Table1[[#This Row],[Minor Group]],H436))</f>
        <v>25-4000</v>
      </c>
      <c r="I437" s="2" t="str">
        <f>IF(Table1[[#This Row],[Major Group]]&lt;&gt;"","n/a",IF(Table1[[#This Row],[Minor Group]]&lt;&gt;"","n/a",IF(Table1[[#This Row],[Broad Group]]&lt;&gt;"",Table1[[#This Row],[Broad Group]],I436)))</f>
        <v>25-4010</v>
      </c>
      <c r="J4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Occupation]],J436))))</f>
        <v>25-4013</v>
      </c>
      <c r="K437" s="2" t="str">
        <f>Table1[[#This Row],[Group Name]]</f>
        <v>Museum Technicians and Conservators</v>
      </c>
    </row>
    <row r="438" spans="2:11" ht="30" x14ac:dyDescent="0.25">
      <c r="C438" s="1" t="s">
        <v>796</v>
      </c>
      <c r="E438" s="1" t="s">
        <v>797</v>
      </c>
      <c r="F4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38" s="2" t="str">
        <f>IF(Table1[[#This Row],[Type]]="Major",Table1[[#This Row],[Major Group]],G437)</f>
        <v>25-0000</v>
      </c>
      <c r="H438" s="2" t="str">
        <f>IF(Table1[[#This Row],[Major Group]]&lt;&gt;"","n/a",IF(Table1[[#This Row],[Minor Group]]&lt;&gt;"",Table1[[#This Row],[Minor Group]],H437))</f>
        <v>25-4000</v>
      </c>
      <c r="I438" s="2" t="str">
        <f>IF(Table1[[#This Row],[Major Group]]&lt;&gt;"","n/a",IF(Table1[[#This Row],[Minor Group]]&lt;&gt;"","n/a",IF(Table1[[#This Row],[Broad Group]]&lt;&gt;"",Table1[[#This Row],[Broad Group]],I437)))</f>
        <v>25-4020</v>
      </c>
      <c r="J4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Occupation]],J437))))</f>
        <v>n/a</v>
      </c>
      <c r="K438" s="2" t="str">
        <f>Table1[[#This Row],[Group Name]]</f>
        <v>Librarians and Media Collections Specialists</v>
      </c>
    </row>
    <row r="439" spans="2:11" ht="25.5" x14ac:dyDescent="0.25">
      <c r="D439" s="5" t="s">
        <v>798</v>
      </c>
      <c r="E439" s="5" t="s">
        <v>797</v>
      </c>
      <c r="F4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39" s="2" t="str">
        <f>IF(Table1[[#This Row],[Type]]="Major",Table1[[#This Row],[Major Group]],G438)</f>
        <v>25-0000</v>
      </c>
      <c r="H439" s="2" t="str">
        <f>IF(Table1[[#This Row],[Major Group]]&lt;&gt;"","n/a",IF(Table1[[#This Row],[Minor Group]]&lt;&gt;"",Table1[[#This Row],[Minor Group]],H438))</f>
        <v>25-4000</v>
      </c>
      <c r="I439" s="2" t="str">
        <f>IF(Table1[[#This Row],[Major Group]]&lt;&gt;"","n/a",IF(Table1[[#This Row],[Minor Group]]&lt;&gt;"","n/a",IF(Table1[[#This Row],[Broad Group]]&lt;&gt;"",Table1[[#This Row],[Broad Group]],I438)))</f>
        <v>25-4020</v>
      </c>
      <c r="J4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Occupation]],J438))))</f>
        <v>25-4022</v>
      </c>
      <c r="K439" s="2" t="str">
        <f>Table1[[#This Row],[Group Name]]</f>
        <v>Librarians and Media Collections Specialists</v>
      </c>
    </row>
    <row r="440" spans="2:11" x14ac:dyDescent="0.25">
      <c r="C440" s="1" t="s">
        <v>799</v>
      </c>
      <c r="E440" s="1" t="s">
        <v>800</v>
      </c>
      <c r="F4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40" s="2" t="str">
        <f>IF(Table1[[#This Row],[Type]]="Major",Table1[[#This Row],[Major Group]],G439)</f>
        <v>25-0000</v>
      </c>
      <c r="H440" s="2" t="str">
        <f>IF(Table1[[#This Row],[Major Group]]&lt;&gt;"","n/a",IF(Table1[[#This Row],[Minor Group]]&lt;&gt;"",Table1[[#This Row],[Minor Group]],H439))</f>
        <v>25-4000</v>
      </c>
      <c r="I440" s="2" t="str">
        <f>IF(Table1[[#This Row],[Major Group]]&lt;&gt;"","n/a",IF(Table1[[#This Row],[Minor Group]]&lt;&gt;"","n/a",IF(Table1[[#This Row],[Broad Group]]&lt;&gt;"",Table1[[#This Row],[Broad Group]],I439)))</f>
        <v>25-4030</v>
      </c>
      <c r="J4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Occupation]],J439))))</f>
        <v>n/a</v>
      </c>
      <c r="K440" s="2" t="str">
        <f>Table1[[#This Row],[Group Name]]</f>
        <v>Library Technicians</v>
      </c>
    </row>
    <row r="441" spans="2:11" x14ac:dyDescent="0.25">
      <c r="D441" s="5" t="s">
        <v>801</v>
      </c>
      <c r="E441" s="5" t="s">
        <v>800</v>
      </c>
      <c r="F4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41" s="2" t="str">
        <f>IF(Table1[[#This Row],[Type]]="Major",Table1[[#This Row],[Major Group]],G440)</f>
        <v>25-0000</v>
      </c>
      <c r="H441" s="2" t="str">
        <f>IF(Table1[[#This Row],[Major Group]]&lt;&gt;"","n/a",IF(Table1[[#This Row],[Minor Group]]&lt;&gt;"",Table1[[#This Row],[Minor Group]],H440))</f>
        <v>25-4000</v>
      </c>
      <c r="I441" s="2" t="str">
        <f>IF(Table1[[#This Row],[Major Group]]&lt;&gt;"","n/a",IF(Table1[[#This Row],[Minor Group]]&lt;&gt;"","n/a",IF(Table1[[#This Row],[Broad Group]]&lt;&gt;"",Table1[[#This Row],[Broad Group]],I440)))</f>
        <v>25-4030</v>
      </c>
      <c r="J4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Occupation]],J440))))</f>
        <v>25-4031</v>
      </c>
      <c r="K441" s="2" t="str">
        <f>Table1[[#This Row],[Group Name]]</f>
        <v>Library Technicians</v>
      </c>
    </row>
    <row r="442" spans="2:11" x14ac:dyDescent="0.25">
      <c r="B442" s="3" t="s">
        <v>802</v>
      </c>
      <c r="E442" s="3" t="s">
        <v>803</v>
      </c>
      <c r="F4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442" s="2" t="str">
        <f>IF(Table1[[#This Row],[Type]]="Major",Table1[[#This Row],[Major Group]],G441)</f>
        <v>25-0000</v>
      </c>
      <c r="H442" s="2" t="str">
        <f>IF(Table1[[#This Row],[Major Group]]&lt;&gt;"","n/a",IF(Table1[[#This Row],[Minor Group]]&lt;&gt;"",Table1[[#This Row],[Minor Group]],H441))</f>
        <v>25-9000</v>
      </c>
      <c r="I442" s="2" t="str">
        <f>IF(Table1[[#This Row],[Major Group]]&lt;&gt;"","n/a",IF(Table1[[#This Row],[Minor Group]]&lt;&gt;"","n/a",IF(Table1[[#This Row],[Broad Group]]&lt;&gt;"",Table1[[#This Row],[Broad Group]],I441)))</f>
        <v>n/a</v>
      </c>
      <c r="J4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Occupation]],J441))))</f>
        <v>n/a</v>
      </c>
      <c r="K442" s="2" t="str">
        <f>Table1[[#This Row],[Group Name]]</f>
        <v>Other Educational Instruction and Library Occupations</v>
      </c>
    </row>
    <row r="443" spans="2:11" ht="30" x14ac:dyDescent="0.25">
      <c r="C443" s="1" t="s">
        <v>804</v>
      </c>
      <c r="E443" s="1" t="s">
        <v>805</v>
      </c>
      <c r="F4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43" s="2" t="str">
        <f>IF(Table1[[#This Row],[Type]]="Major",Table1[[#This Row],[Major Group]],G442)</f>
        <v>25-0000</v>
      </c>
      <c r="H443" s="2" t="str">
        <f>IF(Table1[[#This Row],[Major Group]]&lt;&gt;"","n/a",IF(Table1[[#This Row],[Minor Group]]&lt;&gt;"",Table1[[#This Row],[Minor Group]],H442))</f>
        <v>25-9000</v>
      </c>
      <c r="I443" s="2" t="str">
        <f>IF(Table1[[#This Row],[Major Group]]&lt;&gt;"","n/a",IF(Table1[[#This Row],[Minor Group]]&lt;&gt;"","n/a",IF(Table1[[#This Row],[Broad Group]]&lt;&gt;"",Table1[[#This Row],[Broad Group]],I442)))</f>
        <v>25-9020</v>
      </c>
      <c r="J4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Occupation]],J442))))</f>
        <v>n/a</v>
      </c>
      <c r="K443" s="2" t="str">
        <f>Table1[[#This Row],[Group Name]]</f>
        <v>Farm and Home Management Educators</v>
      </c>
    </row>
    <row r="444" spans="2:11" ht="25.5" x14ac:dyDescent="0.25">
      <c r="D444" s="5" t="s">
        <v>806</v>
      </c>
      <c r="E444" s="5" t="s">
        <v>805</v>
      </c>
      <c r="F4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44" s="2" t="str">
        <f>IF(Table1[[#This Row],[Type]]="Major",Table1[[#This Row],[Major Group]],G443)</f>
        <v>25-0000</v>
      </c>
      <c r="H444" s="2" t="str">
        <f>IF(Table1[[#This Row],[Major Group]]&lt;&gt;"","n/a",IF(Table1[[#This Row],[Minor Group]]&lt;&gt;"",Table1[[#This Row],[Minor Group]],H443))</f>
        <v>25-9000</v>
      </c>
      <c r="I444" s="2" t="str">
        <f>IF(Table1[[#This Row],[Major Group]]&lt;&gt;"","n/a",IF(Table1[[#This Row],[Minor Group]]&lt;&gt;"","n/a",IF(Table1[[#This Row],[Broad Group]]&lt;&gt;"",Table1[[#This Row],[Broad Group]],I443)))</f>
        <v>25-9020</v>
      </c>
      <c r="J4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Occupation]],J443))))</f>
        <v>25-9021</v>
      </c>
      <c r="K444" s="2" t="str">
        <f>Table1[[#This Row],[Group Name]]</f>
        <v>Farm and Home Management Educators</v>
      </c>
    </row>
    <row r="445" spans="2:11" x14ac:dyDescent="0.25">
      <c r="C445" s="1" t="s">
        <v>807</v>
      </c>
      <c r="E445" s="1" t="s">
        <v>808</v>
      </c>
      <c r="F4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45" s="2" t="str">
        <f>IF(Table1[[#This Row],[Type]]="Major",Table1[[#This Row],[Major Group]],G444)</f>
        <v>25-0000</v>
      </c>
      <c r="H445" s="2" t="str">
        <f>IF(Table1[[#This Row],[Major Group]]&lt;&gt;"","n/a",IF(Table1[[#This Row],[Minor Group]]&lt;&gt;"",Table1[[#This Row],[Minor Group]],H444))</f>
        <v>25-9000</v>
      </c>
      <c r="I445" s="2" t="str">
        <f>IF(Table1[[#This Row],[Major Group]]&lt;&gt;"","n/a",IF(Table1[[#This Row],[Minor Group]]&lt;&gt;"","n/a",IF(Table1[[#This Row],[Broad Group]]&lt;&gt;"",Table1[[#This Row],[Broad Group]],I444)))</f>
        <v>25-9030</v>
      </c>
      <c r="J4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Occupation]],J444))))</f>
        <v>n/a</v>
      </c>
      <c r="K445" s="2" t="str">
        <f>Table1[[#This Row],[Group Name]]</f>
        <v>Instructional Coordinators</v>
      </c>
    </row>
    <row r="446" spans="2:11" x14ac:dyDescent="0.25">
      <c r="D446" s="5" t="s">
        <v>809</v>
      </c>
      <c r="E446" s="5" t="s">
        <v>808</v>
      </c>
      <c r="F4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46" s="2" t="str">
        <f>IF(Table1[[#This Row],[Type]]="Major",Table1[[#This Row],[Major Group]],G445)</f>
        <v>25-0000</v>
      </c>
      <c r="H446" s="2" t="str">
        <f>IF(Table1[[#This Row],[Major Group]]&lt;&gt;"","n/a",IF(Table1[[#This Row],[Minor Group]]&lt;&gt;"",Table1[[#This Row],[Minor Group]],H445))</f>
        <v>25-9000</v>
      </c>
      <c r="I446" s="2" t="str">
        <f>IF(Table1[[#This Row],[Major Group]]&lt;&gt;"","n/a",IF(Table1[[#This Row],[Minor Group]]&lt;&gt;"","n/a",IF(Table1[[#This Row],[Broad Group]]&lt;&gt;"",Table1[[#This Row],[Broad Group]],I445)))</f>
        <v>25-9030</v>
      </c>
      <c r="J4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Occupation]],J445))))</f>
        <v>25-9031</v>
      </c>
      <c r="K446" s="2" t="str">
        <f>Table1[[#This Row],[Group Name]]</f>
        <v>Instructional Coordinators</v>
      </c>
    </row>
    <row r="447" spans="2:11" x14ac:dyDescent="0.25">
      <c r="C447" s="1" t="s">
        <v>810</v>
      </c>
      <c r="E447" s="1" t="s">
        <v>811</v>
      </c>
      <c r="F4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47" s="2" t="str">
        <f>IF(Table1[[#This Row],[Type]]="Major",Table1[[#This Row],[Major Group]],G446)</f>
        <v>25-0000</v>
      </c>
      <c r="H447" s="2" t="str">
        <f>IF(Table1[[#This Row],[Major Group]]&lt;&gt;"","n/a",IF(Table1[[#This Row],[Minor Group]]&lt;&gt;"",Table1[[#This Row],[Minor Group]],H446))</f>
        <v>25-9000</v>
      </c>
      <c r="I447" s="2" t="str">
        <f>IF(Table1[[#This Row],[Major Group]]&lt;&gt;"","n/a",IF(Table1[[#This Row],[Minor Group]]&lt;&gt;"","n/a",IF(Table1[[#This Row],[Broad Group]]&lt;&gt;"",Table1[[#This Row],[Broad Group]],I446)))</f>
        <v>25-9040</v>
      </c>
      <c r="J4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Occupation]],J446))))</f>
        <v>n/a</v>
      </c>
      <c r="K447" s="2" t="str">
        <f>Table1[[#This Row],[Group Name]]</f>
        <v>Teaching Assistants</v>
      </c>
    </row>
    <row r="448" spans="2:11" ht="38.25" x14ac:dyDescent="0.25">
      <c r="D448" s="5" t="s">
        <v>812</v>
      </c>
      <c r="E448" s="5" t="s">
        <v>813</v>
      </c>
      <c r="F4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48" s="2" t="str">
        <f>IF(Table1[[#This Row],[Type]]="Major",Table1[[#This Row],[Major Group]],G447)</f>
        <v>25-0000</v>
      </c>
      <c r="H448" s="2" t="str">
        <f>IF(Table1[[#This Row],[Major Group]]&lt;&gt;"","n/a",IF(Table1[[#This Row],[Minor Group]]&lt;&gt;"",Table1[[#This Row],[Minor Group]],H447))</f>
        <v>25-9000</v>
      </c>
      <c r="I448" s="2" t="str">
        <f>IF(Table1[[#This Row],[Major Group]]&lt;&gt;"","n/a",IF(Table1[[#This Row],[Minor Group]]&lt;&gt;"","n/a",IF(Table1[[#This Row],[Broad Group]]&lt;&gt;"",Table1[[#This Row],[Broad Group]],I447)))</f>
        <v>25-9040</v>
      </c>
      <c r="J4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Occupation]],J447))))</f>
        <v>25-9042</v>
      </c>
      <c r="K448" s="2" t="str">
        <f>Table1[[#This Row],[Group Name]]</f>
        <v>Teaching Assistants, Preschool, Elementary, Middle, and Secondary School, Except Special Education</v>
      </c>
    </row>
    <row r="449" spans="1:11" x14ac:dyDescent="0.25">
      <c r="D449" s="5" t="s">
        <v>814</v>
      </c>
      <c r="E449" s="5" t="s">
        <v>815</v>
      </c>
      <c r="F4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49" s="2" t="str">
        <f>IF(Table1[[#This Row],[Type]]="Major",Table1[[#This Row],[Major Group]],G448)</f>
        <v>25-0000</v>
      </c>
      <c r="H449" s="2" t="str">
        <f>IF(Table1[[#This Row],[Major Group]]&lt;&gt;"","n/a",IF(Table1[[#This Row],[Minor Group]]&lt;&gt;"",Table1[[#This Row],[Minor Group]],H448))</f>
        <v>25-9000</v>
      </c>
      <c r="I449" s="2" t="str">
        <f>IF(Table1[[#This Row],[Major Group]]&lt;&gt;"","n/a",IF(Table1[[#This Row],[Minor Group]]&lt;&gt;"","n/a",IF(Table1[[#This Row],[Broad Group]]&lt;&gt;"",Table1[[#This Row],[Broad Group]],I448)))</f>
        <v>25-9040</v>
      </c>
      <c r="J4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Occupation]],J448))))</f>
        <v>25-9043</v>
      </c>
      <c r="K449" s="2" t="str">
        <f>Table1[[#This Row],[Group Name]]</f>
        <v>Teaching Assistants, Special Education</v>
      </c>
    </row>
    <row r="450" spans="1:11" x14ac:dyDescent="0.25">
      <c r="D450" s="5" t="s">
        <v>816</v>
      </c>
      <c r="E450" s="5" t="s">
        <v>817</v>
      </c>
      <c r="F4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50" s="2" t="str">
        <f>IF(Table1[[#This Row],[Type]]="Major",Table1[[#This Row],[Major Group]],G449)</f>
        <v>25-0000</v>
      </c>
      <c r="H450" s="2" t="str">
        <f>IF(Table1[[#This Row],[Major Group]]&lt;&gt;"","n/a",IF(Table1[[#This Row],[Minor Group]]&lt;&gt;"",Table1[[#This Row],[Minor Group]],H449))</f>
        <v>25-9000</v>
      </c>
      <c r="I450" s="2" t="str">
        <f>IF(Table1[[#This Row],[Major Group]]&lt;&gt;"","n/a",IF(Table1[[#This Row],[Minor Group]]&lt;&gt;"","n/a",IF(Table1[[#This Row],[Broad Group]]&lt;&gt;"",Table1[[#This Row],[Broad Group]],I449)))</f>
        <v>25-9040</v>
      </c>
      <c r="J4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Occupation]],J449))))</f>
        <v>25-9044</v>
      </c>
      <c r="K450" s="2" t="str">
        <f>Table1[[#This Row],[Group Name]]</f>
        <v>Teaching Assistants, Postsecondary</v>
      </c>
    </row>
    <row r="451" spans="1:11" x14ac:dyDescent="0.25">
      <c r="D451" s="5" t="s">
        <v>818</v>
      </c>
      <c r="E451" s="5" t="s">
        <v>819</v>
      </c>
      <c r="F4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51" s="2" t="str">
        <f>IF(Table1[[#This Row],[Type]]="Major",Table1[[#This Row],[Major Group]],G450)</f>
        <v>25-0000</v>
      </c>
      <c r="H451" s="2" t="str">
        <f>IF(Table1[[#This Row],[Major Group]]&lt;&gt;"","n/a",IF(Table1[[#This Row],[Minor Group]]&lt;&gt;"",Table1[[#This Row],[Minor Group]],H450))</f>
        <v>25-9000</v>
      </c>
      <c r="I451" s="2" t="str">
        <f>IF(Table1[[#This Row],[Major Group]]&lt;&gt;"","n/a",IF(Table1[[#This Row],[Minor Group]]&lt;&gt;"","n/a",IF(Table1[[#This Row],[Broad Group]]&lt;&gt;"",Table1[[#This Row],[Broad Group]],I450)))</f>
        <v>25-9040</v>
      </c>
      <c r="J4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Occupation]],J450))))</f>
        <v>25-9049</v>
      </c>
      <c r="K451" s="2" t="str">
        <f>Table1[[#This Row],[Group Name]]</f>
        <v>Teaching Assistants, All Other</v>
      </c>
    </row>
    <row r="452" spans="1:11" ht="30" x14ac:dyDescent="0.25">
      <c r="C452" s="1" t="s">
        <v>820</v>
      </c>
      <c r="E452" s="1" t="s">
        <v>821</v>
      </c>
      <c r="F4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52" s="2" t="str">
        <f>IF(Table1[[#This Row],[Type]]="Major",Table1[[#This Row],[Major Group]],G451)</f>
        <v>25-0000</v>
      </c>
      <c r="H452" s="2" t="str">
        <f>IF(Table1[[#This Row],[Major Group]]&lt;&gt;"","n/a",IF(Table1[[#This Row],[Minor Group]]&lt;&gt;"",Table1[[#This Row],[Minor Group]],H451))</f>
        <v>25-9000</v>
      </c>
      <c r="I452" s="2" t="str">
        <f>IF(Table1[[#This Row],[Major Group]]&lt;&gt;"","n/a",IF(Table1[[#This Row],[Minor Group]]&lt;&gt;"","n/a",IF(Table1[[#This Row],[Broad Group]]&lt;&gt;"",Table1[[#This Row],[Broad Group]],I451)))</f>
        <v>25-9090</v>
      </c>
      <c r="J4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Occupation]],J451))))</f>
        <v>n/a</v>
      </c>
      <c r="K452" s="2" t="str">
        <f>Table1[[#This Row],[Group Name]]</f>
        <v>Miscellaneous Educational Instruction and Library Workers</v>
      </c>
    </row>
    <row r="453" spans="1:11" ht="25.5" x14ac:dyDescent="0.25">
      <c r="D453" s="5" t="s">
        <v>822</v>
      </c>
      <c r="E453" s="5" t="s">
        <v>823</v>
      </c>
      <c r="F4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53" s="2" t="str">
        <f>IF(Table1[[#This Row],[Type]]="Major",Table1[[#This Row],[Major Group]],G452)</f>
        <v>25-0000</v>
      </c>
      <c r="H453" s="2" t="str">
        <f>IF(Table1[[#This Row],[Major Group]]&lt;&gt;"","n/a",IF(Table1[[#This Row],[Minor Group]]&lt;&gt;"",Table1[[#This Row],[Minor Group]],H452))</f>
        <v>25-9000</v>
      </c>
      <c r="I453" s="2" t="str">
        <f>IF(Table1[[#This Row],[Major Group]]&lt;&gt;"","n/a",IF(Table1[[#This Row],[Minor Group]]&lt;&gt;"","n/a",IF(Table1[[#This Row],[Broad Group]]&lt;&gt;"",Table1[[#This Row],[Broad Group]],I452)))</f>
        <v>25-9090</v>
      </c>
      <c r="J4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Occupation]],J452))))</f>
        <v>25-9099</v>
      </c>
      <c r="K453" s="2" t="str">
        <f>Table1[[#This Row],[Group Name]]</f>
        <v>Educational Instruction and Library Workers, All Other</v>
      </c>
    </row>
    <row r="454" spans="1:11" ht="15.75" x14ac:dyDescent="0.25">
      <c r="A454" s="4" t="s">
        <v>824</v>
      </c>
      <c r="E454" s="4" t="s">
        <v>825</v>
      </c>
      <c r="F4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454" s="2" t="str">
        <f>IF(Table1[[#This Row],[Type]]="Major",Table1[[#This Row],[Major Group]],G453)</f>
        <v>27-0000</v>
      </c>
      <c r="H454" s="2" t="str">
        <f>IF(Table1[[#This Row],[Major Group]]&lt;&gt;"","n/a",IF(Table1[[#This Row],[Minor Group]]&lt;&gt;"",Table1[[#This Row],[Minor Group]],H453))</f>
        <v>n/a</v>
      </c>
      <c r="I454" s="2" t="str">
        <f>IF(Table1[[#This Row],[Major Group]]&lt;&gt;"","n/a",IF(Table1[[#This Row],[Minor Group]]&lt;&gt;"","n/a",IF(Table1[[#This Row],[Broad Group]]&lt;&gt;"",Table1[[#This Row],[Broad Group]],I453)))</f>
        <v>n/a</v>
      </c>
      <c r="J4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Occupation]],J453))))</f>
        <v>n/a</v>
      </c>
      <c r="K454" s="2" t="str">
        <f>Table1[[#This Row],[Group Name]]</f>
        <v>Arts, Design, Entertainment, Sports, and Media Occupations</v>
      </c>
    </row>
    <row r="455" spans="1:11" x14ac:dyDescent="0.25">
      <c r="B455" s="3" t="s">
        <v>826</v>
      </c>
      <c r="E455" s="3" t="s">
        <v>827</v>
      </c>
      <c r="F4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455" s="2" t="str">
        <f>IF(Table1[[#This Row],[Type]]="Major",Table1[[#This Row],[Major Group]],G454)</f>
        <v>27-0000</v>
      </c>
      <c r="H455" s="2" t="str">
        <f>IF(Table1[[#This Row],[Major Group]]&lt;&gt;"","n/a",IF(Table1[[#This Row],[Minor Group]]&lt;&gt;"",Table1[[#This Row],[Minor Group]],H454))</f>
        <v>27-1000</v>
      </c>
      <c r="I455" s="2" t="str">
        <f>IF(Table1[[#This Row],[Major Group]]&lt;&gt;"","n/a",IF(Table1[[#This Row],[Minor Group]]&lt;&gt;"","n/a",IF(Table1[[#This Row],[Broad Group]]&lt;&gt;"",Table1[[#This Row],[Broad Group]],I454)))</f>
        <v>n/a</v>
      </c>
      <c r="J4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Occupation]],J454))))</f>
        <v>n/a</v>
      </c>
      <c r="K455" s="2" t="str">
        <f>Table1[[#This Row],[Group Name]]</f>
        <v>Art and Design Workers</v>
      </c>
    </row>
    <row r="456" spans="1:11" x14ac:dyDescent="0.25">
      <c r="C456" s="1" t="s">
        <v>828</v>
      </c>
      <c r="E456" s="1" t="s">
        <v>829</v>
      </c>
      <c r="F4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56" s="2" t="str">
        <f>IF(Table1[[#This Row],[Type]]="Major",Table1[[#This Row],[Major Group]],G455)</f>
        <v>27-0000</v>
      </c>
      <c r="H456" s="2" t="str">
        <f>IF(Table1[[#This Row],[Major Group]]&lt;&gt;"","n/a",IF(Table1[[#This Row],[Minor Group]]&lt;&gt;"",Table1[[#This Row],[Minor Group]],H455))</f>
        <v>27-1000</v>
      </c>
      <c r="I456" s="2" t="str">
        <f>IF(Table1[[#This Row],[Major Group]]&lt;&gt;"","n/a",IF(Table1[[#This Row],[Minor Group]]&lt;&gt;"","n/a",IF(Table1[[#This Row],[Broad Group]]&lt;&gt;"",Table1[[#This Row],[Broad Group]],I455)))</f>
        <v>27-1010</v>
      </c>
      <c r="J4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Occupation]],J455))))</f>
        <v>n/a</v>
      </c>
      <c r="K456" s="2" t="str">
        <f>Table1[[#This Row],[Group Name]]</f>
        <v>Artists and Related Workers</v>
      </c>
    </row>
    <row r="457" spans="1:11" x14ac:dyDescent="0.25">
      <c r="D457" s="5" t="s">
        <v>830</v>
      </c>
      <c r="E457" s="5" t="s">
        <v>831</v>
      </c>
      <c r="F4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57" s="2" t="str">
        <f>IF(Table1[[#This Row],[Type]]="Major",Table1[[#This Row],[Major Group]],G456)</f>
        <v>27-0000</v>
      </c>
      <c r="H457" s="2" t="str">
        <f>IF(Table1[[#This Row],[Major Group]]&lt;&gt;"","n/a",IF(Table1[[#This Row],[Minor Group]]&lt;&gt;"",Table1[[#This Row],[Minor Group]],H456))</f>
        <v>27-1000</v>
      </c>
      <c r="I457" s="2" t="str">
        <f>IF(Table1[[#This Row],[Major Group]]&lt;&gt;"","n/a",IF(Table1[[#This Row],[Minor Group]]&lt;&gt;"","n/a",IF(Table1[[#This Row],[Broad Group]]&lt;&gt;"",Table1[[#This Row],[Broad Group]],I456)))</f>
        <v>27-1010</v>
      </c>
      <c r="J4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Occupation]],J456))))</f>
        <v>27-1011</v>
      </c>
      <c r="K457" s="2" t="str">
        <f>Table1[[#This Row],[Group Name]]</f>
        <v>Art Directors</v>
      </c>
    </row>
    <row r="458" spans="1:11" x14ac:dyDescent="0.25">
      <c r="D458" s="5" t="s">
        <v>832</v>
      </c>
      <c r="E458" s="5" t="s">
        <v>833</v>
      </c>
      <c r="F4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58" s="2" t="str">
        <f>IF(Table1[[#This Row],[Type]]="Major",Table1[[#This Row],[Major Group]],G457)</f>
        <v>27-0000</v>
      </c>
      <c r="H458" s="2" t="str">
        <f>IF(Table1[[#This Row],[Major Group]]&lt;&gt;"","n/a",IF(Table1[[#This Row],[Minor Group]]&lt;&gt;"",Table1[[#This Row],[Minor Group]],H457))</f>
        <v>27-1000</v>
      </c>
      <c r="I458" s="2" t="str">
        <f>IF(Table1[[#This Row],[Major Group]]&lt;&gt;"","n/a",IF(Table1[[#This Row],[Minor Group]]&lt;&gt;"","n/a",IF(Table1[[#This Row],[Broad Group]]&lt;&gt;"",Table1[[#This Row],[Broad Group]],I457)))</f>
        <v>27-1010</v>
      </c>
      <c r="J4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Occupation]],J457))))</f>
        <v>27-1012</v>
      </c>
      <c r="K458" s="2" t="str">
        <f>Table1[[#This Row],[Group Name]]</f>
        <v>Craft Artists</v>
      </c>
    </row>
    <row r="459" spans="1:11" ht="25.5" x14ac:dyDescent="0.25">
      <c r="D459" s="5" t="s">
        <v>834</v>
      </c>
      <c r="E459" s="5" t="s">
        <v>835</v>
      </c>
      <c r="F4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59" s="2" t="str">
        <f>IF(Table1[[#This Row],[Type]]="Major",Table1[[#This Row],[Major Group]],G458)</f>
        <v>27-0000</v>
      </c>
      <c r="H459" s="2" t="str">
        <f>IF(Table1[[#This Row],[Major Group]]&lt;&gt;"","n/a",IF(Table1[[#This Row],[Minor Group]]&lt;&gt;"",Table1[[#This Row],[Minor Group]],H458))</f>
        <v>27-1000</v>
      </c>
      <c r="I459" s="2" t="str">
        <f>IF(Table1[[#This Row],[Major Group]]&lt;&gt;"","n/a",IF(Table1[[#This Row],[Minor Group]]&lt;&gt;"","n/a",IF(Table1[[#This Row],[Broad Group]]&lt;&gt;"",Table1[[#This Row],[Broad Group]],I458)))</f>
        <v>27-1010</v>
      </c>
      <c r="J4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Occupation]],J458))))</f>
        <v>27-1013</v>
      </c>
      <c r="K459" s="2" t="str">
        <f>Table1[[#This Row],[Group Name]]</f>
        <v>Fine Artists, Including Painters, Sculptors, and Illustrators</v>
      </c>
    </row>
    <row r="460" spans="1:11" x14ac:dyDescent="0.25">
      <c r="D460" s="5" t="s">
        <v>836</v>
      </c>
      <c r="E460" s="5" t="s">
        <v>837</v>
      </c>
      <c r="F4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0" s="2" t="str">
        <f>IF(Table1[[#This Row],[Type]]="Major",Table1[[#This Row],[Major Group]],G459)</f>
        <v>27-0000</v>
      </c>
      <c r="H460" s="2" t="str">
        <f>IF(Table1[[#This Row],[Major Group]]&lt;&gt;"","n/a",IF(Table1[[#This Row],[Minor Group]]&lt;&gt;"",Table1[[#This Row],[Minor Group]],H459))</f>
        <v>27-1000</v>
      </c>
      <c r="I460" s="2" t="str">
        <f>IF(Table1[[#This Row],[Major Group]]&lt;&gt;"","n/a",IF(Table1[[#This Row],[Minor Group]]&lt;&gt;"","n/a",IF(Table1[[#This Row],[Broad Group]]&lt;&gt;"",Table1[[#This Row],[Broad Group]],I459)))</f>
        <v>27-1010</v>
      </c>
      <c r="J4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Occupation]],J459))))</f>
        <v>27-1014</v>
      </c>
      <c r="K460" s="2" t="str">
        <f>Table1[[#This Row],[Group Name]]</f>
        <v>Special Effects Artists and Animators</v>
      </c>
    </row>
    <row r="461" spans="1:11" x14ac:dyDescent="0.25">
      <c r="D461" s="5" t="s">
        <v>838</v>
      </c>
      <c r="E461" s="5" t="s">
        <v>839</v>
      </c>
      <c r="F4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1" s="2" t="str">
        <f>IF(Table1[[#This Row],[Type]]="Major",Table1[[#This Row],[Major Group]],G460)</f>
        <v>27-0000</v>
      </c>
      <c r="H461" s="2" t="str">
        <f>IF(Table1[[#This Row],[Major Group]]&lt;&gt;"","n/a",IF(Table1[[#This Row],[Minor Group]]&lt;&gt;"",Table1[[#This Row],[Minor Group]],H460))</f>
        <v>27-1000</v>
      </c>
      <c r="I461" s="2" t="str">
        <f>IF(Table1[[#This Row],[Major Group]]&lt;&gt;"","n/a",IF(Table1[[#This Row],[Minor Group]]&lt;&gt;"","n/a",IF(Table1[[#This Row],[Broad Group]]&lt;&gt;"",Table1[[#This Row],[Broad Group]],I460)))</f>
        <v>27-1010</v>
      </c>
      <c r="J4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Occupation]],J460))))</f>
        <v>27-1019</v>
      </c>
      <c r="K461" s="2" t="str">
        <f>Table1[[#This Row],[Group Name]]</f>
        <v>Artists and Related Workers, All Other</v>
      </c>
    </row>
    <row r="462" spans="1:11" x14ac:dyDescent="0.25">
      <c r="C462" s="1" t="s">
        <v>840</v>
      </c>
      <c r="E462" s="1" t="s">
        <v>841</v>
      </c>
      <c r="F4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62" s="2" t="str">
        <f>IF(Table1[[#This Row],[Type]]="Major",Table1[[#This Row],[Major Group]],G461)</f>
        <v>27-0000</v>
      </c>
      <c r="H462" s="2" t="str">
        <f>IF(Table1[[#This Row],[Major Group]]&lt;&gt;"","n/a",IF(Table1[[#This Row],[Minor Group]]&lt;&gt;"",Table1[[#This Row],[Minor Group]],H461))</f>
        <v>27-1000</v>
      </c>
      <c r="I462" s="2" t="str">
        <f>IF(Table1[[#This Row],[Major Group]]&lt;&gt;"","n/a",IF(Table1[[#This Row],[Minor Group]]&lt;&gt;"","n/a",IF(Table1[[#This Row],[Broad Group]]&lt;&gt;"",Table1[[#This Row],[Broad Group]],I461)))</f>
        <v>27-1020</v>
      </c>
      <c r="J4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Occupation]],J461))))</f>
        <v>n/a</v>
      </c>
      <c r="K462" s="2" t="str">
        <f>Table1[[#This Row],[Group Name]]</f>
        <v>Designers</v>
      </c>
    </row>
    <row r="463" spans="1:11" x14ac:dyDescent="0.25">
      <c r="D463" s="5" t="s">
        <v>842</v>
      </c>
      <c r="E463" s="5" t="s">
        <v>843</v>
      </c>
      <c r="F4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3" s="2" t="str">
        <f>IF(Table1[[#This Row],[Type]]="Major",Table1[[#This Row],[Major Group]],G462)</f>
        <v>27-0000</v>
      </c>
      <c r="H463" s="2" t="str">
        <f>IF(Table1[[#This Row],[Major Group]]&lt;&gt;"","n/a",IF(Table1[[#This Row],[Minor Group]]&lt;&gt;"",Table1[[#This Row],[Minor Group]],H462))</f>
        <v>27-1000</v>
      </c>
      <c r="I463" s="2" t="str">
        <f>IF(Table1[[#This Row],[Major Group]]&lt;&gt;"","n/a",IF(Table1[[#This Row],[Minor Group]]&lt;&gt;"","n/a",IF(Table1[[#This Row],[Broad Group]]&lt;&gt;"",Table1[[#This Row],[Broad Group]],I462)))</f>
        <v>27-1020</v>
      </c>
      <c r="J4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Occupation]],J462))))</f>
        <v>27-1021</v>
      </c>
      <c r="K463" s="2" t="str">
        <f>Table1[[#This Row],[Group Name]]</f>
        <v>Commercial and Industrial Designers</v>
      </c>
    </row>
    <row r="464" spans="1:11" x14ac:dyDescent="0.25">
      <c r="D464" s="5" t="s">
        <v>844</v>
      </c>
      <c r="E464" s="5" t="s">
        <v>845</v>
      </c>
      <c r="F4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4" s="2" t="str">
        <f>IF(Table1[[#This Row],[Type]]="Major",Table1[[#This Row],[Major Group]],G463)</f>
        <v>27-0000</v>
      </c>
      <c r="H464" s="2" t="str">
        <f>IF(Table1[[#This Row],[Major Group]]&lt;&gt;"","n/a",IF(Table1[[#This Row],[Minor Group]]&lt;&gt;"",Table1[[#This Row],[Minor Group]],H463))</f>
        <v>27-1000</v>
      </c>
      <c r="I464" s="2" t="str">
        <f>IF(Table1[[#This Row],[Major Group]]&lt;&gt;"","n/a",IF(Table1[[#This Row],[Minor Group]]&lt;&gt;"","n/a",IF(Table1[[#This Row],[Broad Group]]&lt;&gt;"",Table1[[#This Row],[Broad Group]],I463)))</f>
        <v>27-1020</v>
      </c>
      <c r="J4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Occupation]],J463))))</f>
        <v>27-1022</v>
      </c>
      <c r="K464" s="2" t="str">
        <f>Table1[[#This Row],[Group Name]]</f>
        <v>Fashion Designers</v>
      </c>
    </row>
    <row r="465" spans="2:11" x14ac:dyDescent="0.25">
      <c r="D465" s="5" t="s">
        <v>846</v>
      </c>
      <c r="E465" s="5" t="s">
        <v>847</v>
      </c>
      <c r="F4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5" s="2" t="str">
        <f>IF(Table1[[#This Row],[Type]]="Major",Table1[[#This Row],[Major Group]],G464)</f>
        <v>27-0000</v>
      </c>
      <c r="H465" s="2" t="str">
        <f>IF(Table1[[#This Row],[Major Group]]&lt;&gt;"","n/a",IF(Table1[[#This Row],[Minor Group]]&lt;&gt;"",Table1[[#This Row],[Minor Group]],H464))</f>
        <v>27-1000</v>
      </c>
      <c r="I465" s="2" t="str">
        <f>IF(Table1[[#This Row],[Major Group]]&lt;&gt;"","n/a",IF(Table1[[#This Row],[Minor Group]]&lt;&gt;"","n/a",IF(Table1[[#This Row],[Broad Group]]&lt;&gt;"",Table1[[#This Row],[Broad Group]],I464)))</f>
        <v>27-1020</v>
      </c>
      <c r="J4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Occupation]],J464))))</f>
        <v>27-1023</v>
      </c>
      <c r="K465" s="2" t="str">
        <f>Table1[[#This Row],[Group Name]]</f>
        <v>Floral Designers</v>
      </c>
    </row>
    <row r="466" spans="2:11" x14ac:dyDescent="0.25">
      <c r="D466" s="5" t="s">
        <v>848</v>
      </c>
      <c r="E466" s="5" t="s">
        <v>849</v>
      </c>
      <c r="F4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6" s="2" t="str">
        <f>IF(Table1[[#This Row],[Type]]="Major",Table1[[#This Row],[Major Group]],G465)</f>
        <v>27-0000</v>
      </c>
      <c r="H466" s="2" t="str">
        <f>IF(Table1[[#This Row],[Major Group]]&lt;&gt;"","n/a",IF(Table1[[#This Row],[Minor Group]]&lt;&gt;"",Table1[[#This Row],[Minor Group]],H465))</f>
        <v>27-1000</v>
      </c>
      <c r="I466" s="2" t="str">
        <f>IF(Table1[[#This Row],[Major Group]]&lt;&gt;"","n/a",IF(Table1[[#This Row],[Minor Group]]&lt;&gt;"","n/a",IF(Table1[[#This Row],[Broad Group]]&lt;&gt;"",Table1[[#This Row],[Broad Group]],I465)))</f>
        <v>27-1020</v>
      </c>
      <c r="J4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Occupation]],J465))))</f>
        <v>27-1024</v>
      </c>
      <c r="K466" s="2" t="str">
        <f>Table1[[#This Row],[Group Name]]</f>
        <v>Graphic Designers</v>
      </c>
    </row>
    <row r="467" spans="2:11" x14ac:dyDescent="0.25">
      <c r="D467" s="5" t="s">
        <v>850</v>
      </c>
      <c r="E467" s="5" t="s">
        <v>851</v>
      </c>
      <c r="F4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7" s="2" t="str">
        <f>IF(Table1[[#This Row],[Type]]="Major",Table1[[#This Row],[Major Group]],G466)</f>
        <v>27-0000</v>
      </c>
      <c r="H467" s="2" t="str">
        <f>IF(Table1[[#This Row],[Major Group]]&lt;&gt;"","n/a",IF(Table1[[#This Row],[Minor Group]]&lt;&gt;"",Table1[[#This Row],[Minor Group]],H466))</f>
        <v>27-1000</v>
      </c>
      <c r="I467" s="2" t="str">
        <f>IF(Table1[[#This Row],[Major Group]]&lt;&gt;"","n/a",IF(Table1[[#This Row],[Minor Group]]&lt;&gt;"","n/a",IF(Table1[[#This Row],[Broad Group]]&lt;&gt;"",Table1[[#This Row],[Broad Group]],I466)))</f>
        <v>27-1020</v>
      </c>
      <c r="J4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Occupation]],J466))))</f>
        <v>27-1025</v>
      </c>
      <c r="K467" s="2" t="str">
        <f>Table1[[#This Row],[Group Name]]</f>
        <v>Interior Designers</v>
      </c>
    </row>
    <row r="468" spans="2:11" ht="25.5" x14ac:dyDescent="0.25">
      <c r="D468" s="5" t="s">
        <v>852</v>
      </c>
      <c r="E468" s="5" t="s">
        <v>853</v>
      </c>
      <c r="F4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8" s="2" t="str">
        <f>IF(Table1[[#This Row],[Type]]="Major",Table1[[#This Row],[Major Group]],G467)</f>
        <v>27-0000</v>
      </c>
      <c r="H468" s="2" t="str">
        <f>IF(Table1[[#This Row],[Major Group]]&lt;&gt;"","n/a",IF(Table1[[#This Row],[Minor Group]]&lt;&gt;"",Table1[[#This Row],[Minor Group]],H467))</f>
        <v>27-1000</v>
      </c>
      <c r="I468" s="2" t="str">
        <f>IF(Table1[[#This Row],[Major Group]]&lt;&gt;"","n/a",IF(Table1[[#This Row],[Minor Group]]&lt;&gt;"","n/a",IF(Table1[[#This Row],[Broad Group]]&lt;&gt;"",Table1[[#This Row],[Broad Group]],I467)))</f>
        <v>27-1020</v>
      </c>
      <c r="J4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Occupation]],J467))))</f>
        <v>27-1026</v>
      </c>
      <c r="K468" s="2" t="str">
        <f>Table1[[#This Row],[Group Name]]</f>
        <v>Merchandise Displayers and Window Trimmers</v>
      </c>
    </row>
    <row r="469" spans="2:11" x14ac:dyDescent="0.25">
      <c r="D469" s="5" t="s">
        <v>854</v>
      </c>
      <c r="E469" s="5" t="s">
        <v>855</v>
      </c>
      <c r="F4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69" s="2" t="str">
        <f>IF(Table1[[#This Row],[Type]]="Major",Table1[[#This Row],[Major Group]],G468)</f>
        <v>27-0000</v>
      </c>
      <c r="H469" s="2" t="str">
        <f>IF(Table1[[#This Row],[Major Group]]&lt;&gt;"","n/a",IF(Table1[[#This Row],[Minor Group]]&lt;&gt;"",Table1[[#This Row],[Minor Group]],H468))</f>
        <v>27-1000</v>
      </c>
      <c r="I469" s="2" t="str">
        <f>IF(Table1[[#This Row],[Major Group]]&lt;&gt;"","n/a",IF(Table1[[#This Row],[Minor Group]]&lt;&gt;"","n/a",IF(Table1[[#This Row],[Broad Group]]&lt;&gt;"",Table1[[#This Row],[Broad Group]],I468)))</f>
        <v>27-1020</v>
      </c>
      <c r="J4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Occupation]],J468))))</f>
        <v>27-1027</v>
      </c>
      <c r="K469" s="2" t="str">
        <f>Table1[[#This Row],[Group Name]]</f>
        <v>Set and Exhibit Designers</v>
      </c>
    </row>
    <row r="470" spans="2:11" x14ac:dyDescent="0.25">
      <c r="D470" s="5" t="s">
        <v>856</v>
      </c>
      <c r="E470" s="5" t="s">
        <v>857</v>
      </c>
      <c r="F4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70" s="2" t="str">
        <f>IF(Table1[[#This Row],[Type]]="Major",Table1[[#This Row],[Major Group]],G469)</f>
        <v>27-0000</v>
      </c>
      <c r="H470" s="2" t="str">
        <f>IF(Table1[[#This Row],[Major Group]]&lt;&gt;"","n/a",IF(Table1[[#This Row],[Minor Group]]&lt;&gt;"",Table1[[#This Row],[Minor Group]],H469))</f>
        <v>27-1000</v>
      </c>
      <c r="I470" s="2" t="str">
        <f>IF(Table1[[#This Row],[Major Group]]&lt;&gt;"","n/a",IF(Table1[[#This Row],[Minor Group]]&lt;&gt;"","n/a",IF(Table1[[#This Row],[Broad Group]]&lt;&gt;"",Table1[[#This Row],[Broad Group]],I469)))</f>
        <v>27-1020</v>
      </c>
      <c r="J4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Occupation]],J469))))</f>
        <v>27-1029</v>
      </c>
      <c r="K470" s="2" t="str">
        <f>Table1[[#This Row],[Group Name]]</f>
        <v>Designers, All Other</v>
      </c>
    </row>
    <row r="471" spans="2:11" x14ac:dyDescent="0.25">
      <c r="B471" s="3" t="s">
        <v>858</v>
      </c>
      <c r="E471" s="3" t="s">
        <v>859</v>
      </c>
      <c r="F4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471" s="2" t="str">
        <f>IF(Table1[[#This Row],[Type]]="Major",Table1[[#This Row],[Major Group]],G470)</f>
        <v>27-0000</v>
      </c>
      <c r="H471" s="2" t="str">
        <f>IF(Table1[[#This Row],[Major Group]]&lt;&gt;"","n/a",IF(Table1[[#This Row],[Minor Group]]&lt;&gt;"",Table1[[#This Row],[Minor Group]],H470))</f>
        <v>27-2000</v>
      </c>
      <c r="I471" s="2" t="str">
        <f>IF(Table1[[#This Row],[Major Group]]&lt;&gt;"","n/a",IF(Table1[[#This Row],[Minor Group]]&lt;&gt;"","n/a",IF(Table1[[#This Row],[Broad Group]]&lt;&gt;"",Table1[[#This Row],[Broad Group]],I470)))</f>
        <v>n/a</v>
      </c>
      <c r="J4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Occupation]],J470))))</f>
        <v>n/a</v>
      </c>
      <c r="K471" s="2" t="str">
        <f>Table1[[#This Row],[Group Name]]</f>
        <v>Entertainers and Performers, Sports and Related Workers</v>
      </c>
    </row>
    <row r="472" spans="2:11" x14ac:dyDescent="0.25">
      <c r="C472" s="1" t="s">
        <v>860</v>
      </c>
      <c r="E472" s="1" t="s">
        <v>861</v>
      </c>
      <c r="F4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72" s="2" t="str">
        <f>IF(Table1[[#This Row],[Type]]="Major",Table1[[#This Row],[Major Group]],G471)</f>
        <v>27-0000</v>
      </c>
      <c r="H472" s="2" t="str">
        <f>IF(Table1[[#This Row],[Major Group]]&lt;&gt;"","n/a",IF(Table1[[#This Row],[Minor Group]]&lt;&gt;"",Table1[[#This Row],[Minor Group]],H471))</f>
        <v>27-2000</v>
      </c>
      <c r="I472" s="2" t="str">
        <f>IF(Table1[[#This Row],[Major Group]]&lt;&gt;"","n/a",IF(Table1[[#This Row],[Minor Group]]&lt;&gt;"","n/a",IF(Table1[[#This Row],[Broad Group]]&lt;&gt;"",Table1[[#This Row],[Broad Group]],I471)))</f>
        <v>27-2010</v>
      </c>
      <c r="J4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Occupation]],J471))))</f>
        <v>n/a</v>
      </c>
      <c r="K472" s="2" t="str">
        <f>Table1[[#This Row],[Group Name]]</f>
        <v>Actors, Producers, and Directors</v>
      </c>
    </row>
    <row r="473" spans="2:11" x14ac:dyDescent="0.25">
      <c r="D473" s="5" t="s">
        <v>862</v>
      </c>
      <c r="E473" s="5" t="s">
        <v>863</v>
      </c>
      <c r="F4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73" s="2" t="str">
        <f>IF(Table1[[#This Row],[Type]]="Major",Table1[[#This Row],[Major Group]],G472)</f>
        <v>27-0000</v>
      </c>
      <c r="H473" s="2" t="str">
        <f>IF(Table1[[#This Row],[Major Group]]&lt;&gt;"","n/a",IF(Table1[[#This Row],[Minor Group]]&lt;&gt;"",Table1[[#This Row],[Minor Group]],H472))</f>
        <v>27-2000</v>
      </c>
      <c r="I473" s="2" t="str">
        <f>IF(Table1[[#This Row],[Major Group]]&lt;&gt;"","n/a",IF(Table1[[#This Row],[Minor Group]]&lt;&gt;"","n/a",IF(Table1[[#This Row],[Broad Group]]&lt;&gt;"",Table1[[#This Row],[Broad Group]],I472)))</f>
        <v>27-2010</v>
      </c>
      <c r="J4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Occupation]],J472))))</f>
        <v>27-2011</v>
      </c>
      <c r="K473" s="2" t="str">
        <f>Table1[[#This Row],[Group Name]]</f>
        <v>Actors</v>
      </c>
    </row>
    <row r="474" spans="2:11" x14ac:dyDescent="0.25">
      <c r="D474" s="5" t="s">
        <v>864</v>
      </c>
      <c r="E474" s="5" t="s">
        <v>865</v>
      </c>
      <c r="F4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74" s="2" t="str">
        <f>IF(Table1[[#This Row],[Type]]="Major",Table1[[#This Row],[Major Group]],G473)</f>
        <v>27-0000</v>
      </c>
      <c r="H474" s="2" t="str">
        <f>IF(Table1[[#This Row],[Major Group]]&lt;&gt;"","n/a",IF(Table1[[#This Row],[Minor Group]]&lt;&gt;"",Table1[[#This Row],[Minor Group]],H473))</f>
        <v>27-2000</v>
      </c>
      <c r="I474" s="2" t="str">
        <f>IF(Table1[[#This Row],[Major Group]]&lt;&gt;"","n/a",IF(Table1[[#This Row],[Minor Group]]&lt;&gt;"","n/a",IF(Table1[[#This Row],[Broad Group]]&lt;&gt;"",Table1[[#This Row],[Broad Group]],I473)))</f>
        <v>27-2010</v>
      </c>
      <c r="J4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Occupation]],J473))))</f>
        <v>27-2012</v>
      </c>
      <c r="K474" s="2" t="str">
        <f>Table1[[#This Row],[Group Name]]</f>
        <v>Producers and Directors</v>
      </c>
    </row>
    <row r="475" spans="2:11" ht="30" x14ac:dyDescent="0.25">
      <c r="C475" s="1" t="s">
        <v>866</v>
      </c>
      <c r="E475" s="1" t="s">
        <v>867</v>
      </c>
      <c r="F4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75" s="2" t="str">
        <f>IF(Table1[[#This Row],[Type]]="Major",Table1[[#This Row],[Major Group]],G474)</f>
        <v>27-0000</v>
      </c>
      <c r="H475" s="2" t="str">
        <f>IF(Table1[[#This Row],[Major Group]]&lt;&gt;"","n/a",IF(Table1[[#This Row],[Minor Group]]&lt;&gt;"",Table1[[#This Row],[Minor Group]],H474))</f>
        <v>27-2000</v>
      </c>
      <c r="I475" s="2" t="str">
        <f>IF(Table1[[#This Row],[Major Group]]&lt;&gt;"","n/a",IF(Table1[[#This Row],[Minor Group]]&lt;&gt;"","n/a",IF(Table1[[#This Row],[Broad Group]]&lt;&gt;"",Table1[[#This Row],[Broad Group]],I474)))</f>
        <v>27-2020</v>
      </c>
      <c r="J4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Occupation]],J474))))</f>
        <v>n/a</v>
      </c>
      <c r="K475" s="2" t="str">
        <f>Table1[[#This Row],[Group Name]]</f>
        <v>Athletes, Coaches, Umpires, and Related Workers</v>
      </c>
    </row>
    <row r="476" spans="2:11" x14ac:dyDescent="0.25">
      <c r="D476" s="5" t="s">
        <v>868</v>
      </c>
      <c r="E476" s="5" t="s">
        <v>869</v>
      </c>
      <c r="F4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76" s="2" t="str">
        <f>IF(Table1[[#This Row],[Type]]="Major",Table1[[#This Row],[Major Group]],G475)</f>
        <v>27-0000</v>
      </c>
      <c r="H476" s="2" t="str">
        <f>IF(Table1[[#This Row],[Major Group]]&lt;&gt;"","n/a",IF(Table1[[#This Row],[Minor Group]]&lt;&gt;"",Table1[[#This Row],[Minor Group]],H475))</f>
        <v>27-2000</v>
      </c>
      <c r="I476" s="2" t="str">
        <f>IF(Table1[[#This Row],[Major Group]]&lt;&gt;"","n/a",IF(Table1[[#This Row],[Minor Group]]&lt;&gt;"","n/a",IF(Table1[[#This Row],[Broad Group]]&lt;&gt;"",Table1[[#This Row],[Broad Group]],I475)))</f>
        <v>27-2020</v>
      </c>
      <c r="J4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Occupation]],J475))))</f>
        <v>27-2021</v>
      </c>
      <c r="K476" s="2" t="str">
        <f>Table1[[#This Row],[Group Name]]</f>
        <v>Athletes and Sports Competitors</v>
      </c>
    </row>
    <row r="477" spans="2:11" x14ac:dyDescent="0.25">
      <c r="D477" s="5" t="s">
        <v>870</v>
      </c>
      <c r="E477" s="5" t="s">
        <v>871</v>
      </c>
      <c r="F4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77" s="2" t="str">
        <f>IF(Table1[[#This Row],[Type]]="Major",Table1[[#This Row],[Major Group]],G476)</f>
        <v>27-0000</v>
      </c>
      <c r="H477" s="2" t="str">
        <f>IF(Table1[[#This Row],[Major Group]]&lt;&gt;"","n/a",IF(Table1[[#This Row],[Minor Group]]&lt;&gt;"",Table1[[#This Row],[Minor Group]],H476))</f>
        <v>27-2000</v>
      </c>
      <c r="I477" s="2" t="str">
        <f>IF(Table1[[#This Row],[Major Group]]&lt;&gt;"","n/a",IF(Table1[[#This Row],[Minor Group]]&lt;&gt;"","n/a",IF(Table1[[#This Row],[Broad Group]]&lt;&gt;"",Table1[[#This Row],[Broad Group]],I476)))</f>
        <v>27-2020</v>
      </c>
      <c r="J4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Occupation]],J476))))</f>
        <v>27-2022</v>
      </c>
      <c r="K477" s="2" t="str">
        <f>Table1[[#This Row],[Group Name]]</f>
        <v>Coaches and Scouts</v>
      </c>
    </row>
    <row r="478" spans="2:11" ht="25.5" x14ac:dyDescent="0.25">
      <c r="D478" s="5" t="s">
        <v>872</v>
      </c>
      <c r="E478" s="5" t="s">
        <v>873</v>
      </c>
      <c r="F4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78" s="2" t="str">
        <f>IF(Table1[[#This Row],[Type]]="Major",Table1[[#This Row],[Major Group]],G477)</f>
        <v>27-0000</v>
      </c>
      <c r="H478" s="2" t="str">
        <f>IF(Table1[[#This Row],[Major Group]]&lt;&gt;"","n/a",IF(Table1[[#This Row],[Minor Group]]&lt;&gt;"",Table1[[#This Row],[Minor Group]],H477))</f>
        <v>27-2000</v>
      </c>
      <c r="I478" s="2" t="str">
        <f>IF(Table1[[#This Row],[Major Group]]&lt;&gt;"","n/a",IF(Table1[[#This Row],[Minor Group]]&lt;&gt;"","n/a",IF(Table1[[#This Row],[Broad Group]]&lt;&gt;"",Table1[[#This Row],[Broad Group]],I477)))</f>
        <v>27-2020</v>
      </c>
      <c r="J4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Occupation]],J477))))</f>
        <v>27-2023</v>
      </c>
      <c r="K478" s="2" t="str">
        <f>Table1[[#This Row],[Group Name]]</f>
        <v>Umpires, Referees, and Other Sports Officials</v>
      </c>
    </row>
    <row r="479" spans="2:11" x14ac:dyDescent="0.25">
      <c r="C479" s="1" t="s">
        <v>874</v>
      </c>
      <c r="E479" s="1" t="s">
        <v>875</v>
      </c>
      <c r="F4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79" s="2" t="str">
        <f>IF(Table1[[#This Row],[Type]]="Major",Table1[[#This Row],[Major Group]],G478)</f>
        <v>27-0000</v>
      </c>
      <c r="H479" s="2" t="str">
        <f>IF(Table1[[#This Row],[Major Group]]&lt;&gt;"","n/a",IF(Table1[[#This Row],[Minor Group]]&lt;&gt;"",Table1[[#This Row],[Minor Group]],H478))</f>
        <v>27-2000</v>
      </c>
      <c r="I479" s="2" t="str">
        <f>IF(Table1[[#This Row],[Major Group]]&lt;&gt;"","n/a",IF(Table1[[#This Row],[Minor Group]]&lt;&gt;"","n/a",IF(Table1[[#This Row],[Broad Group]]&lt;&gt;"",Table1[[#This Row],[Broad Group]],I478)))</f>
        <v>27-2030</v>
      </c>
      <c r="J4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Occupation]],J478))))</f>
        <v>n/a</v>
      </c>
      <c r="K479" s="2" t="str">
        <f>Table1[[#This Row],[Group Name]]</f>
        <v>Dancers and Choreographers</v>
      </c>
    </row>
    <row r="480" spans="2:11" x14ac:dyDescent="0.25">
      <c r="D480" s="5" t="s">
        <v>876</v>
      </c>
      <c r="E480" s="5" t="s">
        <v>877</v>
      </c>
      <c r="F4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80" s="2" t="str">
        <f>IF(Table1[[#This Row],[Type]]="Major",Table1[[#This Row],[Major Group]],G479)</f>
        <v>27-0000</v>
      </c>
      <c r="H480" s="2" t="str">
        <f>IF(Table1[[#This Row],[Major Group]]&lt;&gt;"","n/a",IF(Table1[[#This Row],[Minor Group]]&lt;&gt;"",Table1[[#This Row],[Minor Group]],H479))</f>
        <v>27-2000</v>
      </c>
      <c r="I480" s="2" t="str">
        <f>IF(Table1[[#This Row],[Major Group]]&lt;&gt;"","n/a",IF(Table1[[#This Row],[Minor Group]]&lt;&gt;"","n/a",IF(Table1[[#This Row],[Broad Group]]&lt;&gt;"",Table1[[#This Row],[Broad Group]],I479)))</f>
        <v>27-2030</v>
      </c>
      <c r="J4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Occupation]],J479))))</f>
        <v>27-2031</v>
      </c>
      <c r="K480" s="2" t="str">
        <f>Table1[[#This Row],[Group Name]]</f>
        <v>Dancers</v>
      </c>
    </row>
    <row r="481" spans="2:11" x14ac:dyDescent="0.25">
      <c r="D481" s="5" t="s">
        <v>878</v>
      </c>
      <c r="E481" s="5" t="s">
        <v>879</v>
      </c>
      <c r="F4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81" s="2" t="str">
        <f>IF(Table1[[#This Row],[Type]]="Major",Table1[[#This Row],[Major Group]],G480)</f>
        <v>27-0000</v>
      </c>
      <c r="H481" s="2" t="str">
        <f>IF(Table1[[#This Row],[Major Group]]&lt;&gt;"","n/a",IF(Table1[[#This Row],[Minor Group]]&lt;&gt;"",Table1[[#This Row],[Minor Group]],H480))</f>
        <v>27-2000</v>
      </c>
      <c r="I481" s="2" t="str">
        <f>IF(Table1[[#This Row],[Major Group]]&lt;&gt;"","n/a",IF(Table1[[#This Row],[Minor Group]]&lt;&gt;"","n/a",IF(Table1[[#This Row],[Broad Group]]&lt;&gt;"",Table1[[#This Row],[Broad Group]],I480)))</f>
        <v>27-2030</v>
      </c>
      <c r="J4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Occupation]],J480))))</f>
        <v>27-2032</v>
      </c>
      <c r="K481" s="2" t="str">
        <f>Table1[[#This Row],[Group Name]]</f>
        <v>Choreographers</v>
      </c>
    </row>
    <row r="482" spans="2:11" ht="30" x14ac:dyDescent="0.25">
      <c r="C482" s="1" t="s">
        <v>880</v>
      </c>
      <c r="E482" s="1" t="s">
        <v>881</v>
      </c>
      <c r="F4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82" s="2" t="str">
        <f>IF(Table1[[#This Row],[Type]]="Major",Table1[[#This Row],[Major Group]],G481)</f>
        <v>27-0000</v>
      </c>
      <c r="H482" s="2" t="str">
        <f>IF(Table1[[#This Row],[Major Group]]&lt;&gt;"","n/a",IF(Table1[[#This Row],[Minor Group]]&lt;&gt;"",Table1[[#This Row],[Minor Group]],H481))</f>
        <v>27-2000</v>
      </c>
      <c r="I482" s="2" t="str">
        <f>IF(Table1[[#This Row],[Major Group]]&lt;&gt;"","n/a",IF(Table1[[#This Row],[Minor Group]]&lt;&gt;"","n/a",IF(Table1[[#This Row],[Broad Group]]&lt;&gt;"",Table1[[#This Row],[Broad Group]],I481)))</f>
        <v>27-2040</v>
      </c>
      <c r="J4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Occupation]],J481))))</f>
        <v>n/a</v>
      </c>
      <c r="K482" s="2" t="str">
        <f>Table1[[#This Row],[Group Name]]</f>
        <v>Musicians, Singers, and Related Workers</v>
      </c>
    </row>
    <row r="483" spans="2:11" x14ac:dyDescent="0.25">
      <c r="D483" s="5" t="s">
        <v>882</v>
      </c>
      <c r="E483" s="5" t="s">
        <v>883</v>
      </c>
      <c r="F4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83" s="2" t="str">
        <f>IF(Table1[[#This Row],[Type]]="Major",Table1[[#This Row],[Major Group]],G482)</f>
        <v>27-0000</v>
      </c>
      <c r="H483" s="2" t="str">
        <f>IF(Table1[[#This Row],[Major Group]]&lt;&gt;"","n/a",IF(Table1[[#This Row],[Minor Group]]&lt;&gt;"",Table1[[#This Row],[Minor Group]],H482))</f>
        <v>27-2000</v>
      </c>
      <c r="I483" s="2" t="str">
        <f>IF(Table1[[#This Row],[Major Group]]&lt;&gt;"","n/a",IF(Table1[[#This Row],[Minor Group]]&lt;&gt;"","n/a",IF(Table1[[#This Row],[Broad Group]]&lt;&gt;"",Table1[[#This Row],[Broad Group]],I482)))</f>
        <v>27-2040</v>
      </c>
      <c r="J4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Occupation]],J482))))</f>
        <v>27-2041</v>
      </c>
      <c r="K483" s="2" t="str">
        <f>Table1[[#This Row],[Group Name]]</f>
        <v>Music Directors and Composers</v>
      </c>
    </row>
    <row r="484" spans="2:11" x14ac:dyDescent="0.25">
      <c r="D484" s="5" t="s">
        <v>884</v>
      </c>
      <c r="E484" s="5" t="s">
        <v>885</v>
      </c>
      <c r="F4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84" s="2" t="str">
        <f>IF(Table1[[#This Row],[Type]]="Major",Table1[[#This Row],[Major Group]],G483)</f>
        <v>27-0000</v>
      </c>
      <c r="H484" s="2" t="str">
        <f>IF(Table1[[#This Row],[Major Group]]&lt;&gt;"","n/a",IF(Table1[[#This Row],[Minor Group]]&lt;&gt;"",Table1[[#This Row],[Minor Group]],H483))</f>
        <v>27-2000</v>
      </c>
      <c r="I484" s="2" t="str">
        <f>IF(Table1[[#This Row],[Major Group]]&lt;&gt;"","n/a",IF(Table1[[#This Row],[Minor Group]]&lt;&gt;"","n/a",IF(Table1[[#This Row],[Broad Group]]&lt;&gt;"",Table1[[#This Row],[Broad Group]],I483)))</f>
        <v>27-2040</v>
      </c>
      <c r="J4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Occupation]],J483))))</f>
        <v>27-2042</v>
      </c>
      <c r="K484" s="2" t="str">
        <f>Table1[[#This Row],[Group Name]]</f>
        <v>Musicians and Singers</v>
      </c>
    </row>
    <row r="485" spans="2:11" ht="45" x14ac:dyDescent="0.25">
      <c r="C485" s="1" t="s">
        <v>886</v>
      </c>
      <c r="E485" s="1" t="s">
        <v>887</v>
      </c>
      <c r="F4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85" s="2" t="str">
        <f>IF(Table1[[#This Row],[Type]]="Major",Table1[[#This Row],[Major Group]],G484)</f>
        <v>27-0000</v>
      </c>
      <c r="H485" s="2" t="str">
        <f>IF(Table1[[#This Row],[Major Group]]&lt;&gt;"","n/a",IF(Table1[[#This Row],[Minor Group]]&lt;&gt;"",Table1[[#This Row],[Minor Group]],H484))</f>
        <v>27-2000</v>
      </c>
      <c r="I485" s="2" t="str">
        <f>IF(Table1[[#This Row],[Major Group]]&lt;&gt;"","n/a",IF(Table1[[#This Row],[Minor Group]]&lt;&gt;"","n/a",IF(Table1[[#This Row],[Broad Group]]&lt;&gt;"",Table1[[#This Row],[Broad Group]],I484)))</f>
        <v>27-2090</v>
      </c>
      <c r="J4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Occupation]],J484))))</f>
        <v>n/a</v>
      </c>
      <c r="K485" s="2" t="str">
        <f>Table1[[#This Row],[Group Name]]</f>
        <v>Miscellaneous Entertainers and Performers, Sports and Related Workers</v>
      </c>
    </row>
    <row r="486" spans="2:11" x14ac:dyDescent="0.25">
      <c r="D486" s="5" t="s">
        <v>888</v>
      </c>
      <c r="E486" s="5" t="s">
        <v>889</v>
      </c>
      <c r="F4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86" s="2" t="str">
        <f>IF(Table1[[#This Row],[Type]]="Major",Table1[[#This Row],[Major Group]],G485)</f>
        <v>27-0000</v>
      </c>
      <c r="H486" s="2" t="str">
        <f>IF(Table1[[#This Row],[Major Group]]&lt;&gt;"","n/a",IF(Table1[[#This Row],[Minor Group]]&lt;&gt;"",Table1[[#This Row],[Minor Group]],H485))</f>
        <v>27-2000</v>
      </c>
      <c r="I486" s="2" t="str">
        <f>IF(Table1[[#This Row],[Major Group]]&lt;&gt;"","n/a",IF(Table1[[#This Row],[Minor Group]]&lt;&gt;"","n/a",IF(Table1[[#This Row],[Broad Group]]&lt;&gt;"",Table1[[#This Row],[Broad Group]],I485)))</f>
        <v>27-2090</v>
      </c>
      <c r="J4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Occupation]],J485))))</f>
        <v>27-2091</v>
      </c>
      <c r="K486" s="2" t="str">
        <f>Table1[[#This Row],[Group Name]]</f>
        <v>Disc Jockeys, Except Radio</v>
      </c>
    </row>
    <row r="487" spans="2:11" ht="25.5" x14ac:dyDescent="0.25">
      <c r="D487" s="5" t="s">
        <v>890</v>
      </c>
      <c r="E487" s="5" t="s">
        <v>891</v>
      </c>
      <c r="F4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87" s="2" t="str">
        <f>IF(Table1[[#This Row],[Type]]="Major",Table1[[#This Row],[Major Group]],G486)</f>
        <v>27-0000</v>
      </c>
      <c r="H487" s="2" t="str">
        <f>IF(Table1[[#This Row],[Major Group]]&lt;&gt;"","n/a",IF(Table1[[#This Row],[Minor Group]]&lt;&gt;"",Table1[[#This Row],[Minor Group]],H486))</f>
        <v>27-2000</v>
      </c>
      <c r="I487" s="2" t="str">
        <f>IF(Table1[[#This Row],[Major Group]]&lt;&gt;"","n/a",IF(Table1[[#This Row],[Minor Group]]&lt;&gt;"","n/a",IF(Table1[[#This Row],[Broad Group]]&lt;&gt;"",Table1[[#This Row],[Broad Group]],I486)))</f>
        <v>27-2090</v>
      </c>
      <c r="J4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Occupation]],J486))))</f>
        <v>27-2099</v>
      </c>
      <c r="K487" s="2" t="str">
        <f>Table1[[#This Row],[Group Name]]</f>
        <v>Entertainers and Performers, Sports and Related Workers, All Other</v>
      </c>
    </row>
    <row r="488" spans="2:11" x14ac:dyDescent="0.25">
      <c r="B488" s="3" t="s">
        <v>892</v>
      </c>
      <c r="E488" s="3" t="s">
        <v>893</v>
      </c>
      <c r="F4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488" s="2" t="str">
        <f>IF(Table1[[#This Row],[Type]]="Major",Table1[[#This Row],[Major Group]],G487)</f>
        <v>27-0000</v>
      </c>
      <c r="H488" s="2" t="str">
        <f>IF(Table1[[#This Row],[Major Group]]&lt;&gt;"","n/a",IF(Table1[[#This Row],[Minor Group]]&lt;&gt;"",Table1[[#This Row],[Minor Group]],H487))</f>
        <v>27-3000</v>
      </c>
      <c r="I488" s="2" t="str">
        <f>IF(Table1[[#This Row],[Major Group]]&lt;&gt;"","n/a",IF(Table1[[#This Row],[Minor Group]]&lt;&gt;"","n/a",IF(Table1[[#This Row],[Broad Group]]&lt;&gt;"",Table1[[#This Row],[Broad Group]],I487)))</f>
        <v>n/a</v>
      </c>
      <c r="J4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Occupation]],J487))))</f>
        <v>n/a</v>
      </c>
      <c r="K488" s="2" t="str">
        <f>Table1[[#This Row],[Group Name]]</f>
        <v>Media and Communication Workers</v>
      </c>
    </row>
    <row r="489" spans="2:11" ht="30" x14ac:dyDescent="0.25">
      <c r="C489" s="1" t="s">
        <v>894</v>
      </c>
      <c r="E489" s="1" t="s">
        <v>895</v>
      </c>
      <c r="F4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89" s="2" t="str">
        <f>IF(Table1[[#This Row],[Type]]="Major",Table1[[#This Row],[Major Group]],G488)</f>
        <v>27-0000</v>
      </c>
      <c r="H489" s="2" t="str">
        <f>IF(Table1[[#This Row],[Major Group]]&lt;&gt;"","n/a",IF(Table1[[#This Row],[Minor Group]]&lt;&gt;"",Table1[[#This Row],[Minor Group]],H488))</f>
        <v>27-3000</v>
      </c>
      <c r="I489" s="2" t="str">
        <f>IF(Table1[[#This Row],[Major Group]]&lt;&gt;"","n/a",IF(Table1[[#This Row],[Minor Group]]&lt;&gt;"","n/a",IF(Table1[[#This Row],[Broad Group]]&lt;&gt;"",Table1[[#This Row],[Broad Group]],I488)))</f>
        <v>27-3010</v>
      </c>
      <c r="J4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Occupation]],J488))))</f>
        <v>n/a</v>
      </c>
      <c r="K489" s="2" t="str">
        <f>Table1[[#This Row],[Group Name]]</f>
        <v>Broadcast Announcers and Radio Disc Jockeys</v>
      </c>
    </row>
    <row r="490" spans="2:11" ht="25.5" x14ac:dyDescent="0.25">
      <c r="D490" s="5" t="s">
        <v>896</v>
      </c>
      <c r="E490" s="5" t="s">
        <v>895</v>
      </c>
      <c r="F4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90" s="2" t="str">
        <f>IF(Table1[[#This Row],[Type]]="Major",Table1[[#This Row],[Major Group]],G489)</f>
        <v>27-0000</v>
      </c>
      <c r="H490" s="2" t="str">
        <f>IF(Table1[[#This Row],[Major Group]]&lt;&gt;"","n/a",IF(Table1[[#This Row],[Minor Group]]&lt;&gt;"",Table1[[#This Row],[Minor Group]],H489))</f>
        <v>27-3000</v>
      </c>
      <c r="I490" s="2" t="str">
        <f>IF(Table1[[#This Row],[Major Group]]&lt;&gt;"","n/a",IF(Table1[[#This Row],[Minor Group]]&lt;&gt;"","n/a",IF(Table1[[#This Row],[Broad Group]]&lt;&gt;"",Table1[[#This Row],[Broad Group]],I489)))</f>
        <v>27-3010</v>
      </c>
      <c r="J4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Occupation]],J489))))</f>
        <v>27-3011</v>
      </c>
      <c r="K490" s="2" t="str">
        <f>Table1[[#This Row],[Group Name]]</f>
        <v>Broadcast Announcers and Radio Disc Jockeys</v>
      </c>
    </row>
    <row r="491" spans="2:11" ht="30" x14ac:dyDescent="0.25">
      <c r="C491" s="1" t="s">
        <v>897</v>
      </c>
      <c r="E491" s="1" t="s">
        <v>898</v>
      </c>
      <c r="F4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91" s="2" t="str">
        <f>IF(Table1[[#This Row],[Type]]="Major",Table1[[#This Row],[Major Group]],G490)</f>
        <v>27-0000</v>
      </c>
      <c r="H491" s="2" t="str">
        <f>IF(Table1[[#This Row],[Major Group]]&lt;&gt;"","n/a",IF(Table1[[#This Row],[Minor Group]]&lt;&gt;"",Table1[[#This Row],[Minor Group]],H490))</f>
        <v>27-3000</v>
      </c>
      <c r="I491" s="2" t="str">
        <f>IF(Table1[[#This Row],[Major Group]]&lt;&gt;"","n/a",IF(Table1[[#This Row],[Minor Group]]&lt;&gt;"","n/a",IF(Table1[[#This Row],[Broad Group]]&lt;&gt;"",Table1[[#This Row],[Broad Group]],I490)))</f>
        <v>27-3020</v>
      </c>
      <c r="J4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Occupation]],J490))))</f>
        <v>n/a</v>
      </c>
      <c r="K491" s="2" t="str">
        <f>Table1[[#This Row],[Group Name]]</f>
        <v>News Analysts, Reporters and Journalists</v>
      </c>
    </row>
    <row r="492" spans="2:11" ht="25.5" x14ac:dyDescent="0.25">
      <c r="D492" s="5" t="s">
        <v>899</v>
      </c>
      <c r="E492" s="5" t="s">
        <v>900</v>
      </c>
      <c r="F4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92" s="2" t="str">
        <f>IF(Table1[[#This Row],[Type]]="Major",Table1[[#This Row],[Major Group]],G491)</f>
        <v>27-0000</v>
      </c>
      <c r="H492" s="2" t="str">
        <f>IF(Table1[[#This Row],[Major Group]]&lt;&gt;"","n/a",IF(Table1[[#This Row],[Minor Group]]&lt;&gt;"",Table1[[#This Row],[Minor Group]],H491))</f>
        <v>27-3000</v>
      </c>
      <c r="I492" s="2" t="str">
        <f>IF(Table1[[#This Row],[Major Group]]&lt;&gt;"","n/a",IF(Table1[[#This Row],[Minor Group]]&lt;&gt;"","n/a",IF(Table1[[#This Row],[Broad Group]]&lt;&gt;"",Table1[[#This Row],[Broad Group]],I491)))</f>
        <v>27-3020</v>
      </c>
      <c r="J4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Occupation]],J491))))</f>
        <v>27-3023</v>
      </c>
      <c r="K492" s="2" t="str">
        <f>Table1[[#This Row],[Group Name]]</f>
        <v>News Analysts, Reporters, and Journalists</v>
      </c>
    </row>
    <row r="493" spans="2:11" x14ac:dyDescent="0.25">
      <c r="C493" s="1" t="s">
        <v>901</v>
      </c>
      <c r="E493" s="1" t="s">
        <v>902</v>
      </c>
      <c r="F4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93" s="2" t="str">
        <f>IF(Table1[[#This Row],[Type]]="Major",Table1[[#This Row],[Major Group]],G492)</f>
        <v>27-0000</v>
      </c>
      <c r="H493" s="2" t="str">
        <f>IF(Table1[[#This Row],[Major Group]]&lt;&gt;"","n/a",IF(Table1[[#This Row],[Minor Group]]&lt;&gt;"",Table1[[#This Row],[Minor Group]],H492))</f>
        <v>27-3000</v>
      </c>
      <c r="I493" s="2" t="str">
        <f>IF(Table1[[#This Row],[Major Group]]&lt;&gt;"","n/a",IF(Table1[[#This Row],[Minor Group]]&lt;&gt;"","n/a",IF(Table1[[#This Row],[Broad Group]]&lt;&gt;"",Table1[[#This Row],[Broad Group]],I492)))</f>
        <v>27-3030</v>
      </c>
      <c r="J4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Occupation]],J492))))</f>
        <v>n/a</v>
      </c>
      <c r="K493" s="2" t="str">
        <f>Table1[[#This Row],[Group Name]]</f>
        <v>Public Relations Specialists</v>
      </c>
    </row>
    <row r="494" spans="2:11" x14ac:dyDescent="0.25">
      <c r="D494" s="5" t="s">
        <v>903</v>
      </c>
      <c r="E494" s="5" t="s">
        <v>902</v>
      </c>
      <c r="F4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94" s="2" t="str">
        <f>IF(Table1[[#This Row],[Type]]="Major",Table1[[#This Row],[Major Group]],G493)</f>
        <v>27-0000</v>
      </c>
      <c r="H494" s="2" t="str">
        <f>IF(Table1[[#This Row],[Major Group]]&lt;&gt;"","n/a",IF(Table1[[#This Row],[Minor Group]]&lt;&gt;"",Table1[[#This Row],[Minor Group]],H493))</f>
        <v>27-3000</v>
      </c>
      <c r="I494" s="2" t="str">
        <f>IF(Table1[[#This Row],[Major Group]]&lt;&gt;"","n/a",IF(Table1[[#This Row],[Minor Group]]&lt;&gt;"","n/a",IF(Table1[[#This Row],[Broad Group]]&lt;&gt;"",Table1[[#This Row],[Broad Group]],I493)))</f>
        <v>27-3030</v>
      </c>
      <c r="J4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Occupation]],J493))))</f>
        <v>27-3031</v>
      </c>
      <c r="K494" s="2" t="str">
        <f>Table1[[#This Row],[Group Name]]</f>
        <v>Public Relations Specialists</v>
      </c>
    </row>
    <row r="495" spans="2:11" x14ac:dyDescent="0.25">
      <c r="C495" s="1" t="s">
        <v>904</v>
      </c>
      <c r="E495" s="1" t="s">
        <v>905</v>
      </c>
      <c r="F4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95" s="2" t="str">
        <f>IF(Table1[[#This Row],[Type]]="Major",Table1[[#This Row],[Major Group]],G494)</f>
        <v>27-0000</v>
      </c>
      <c r="H495" s="2" t="str">
        <f>IF(Table1[[#This Row],[Major Group]]&lt;&gt;"","n/a",IF(Table1[[#This Row],[Minor Group]]&lt;&gt;"",Table1[[#This Row],[Minor Group]],H494))</f>
        <v>27-3000</v>
      </c>
      <c r="I495" s="2" t="str">
        <f>IF(Table1[[#This Row],[Major Group]]&lt;&gt;"","n/a",IF(Table1[[#This Row],[Minor Group]]&lt;&gt;"","n/a",IF(Table1[[#This Row],[Broad Group]]&lt;&gt;"",Table1[[#This Row],[Broad Group]],I494)))</f>
        <v>27-3040</v>
      </c>
      <c r="J4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Occupation]],J494))))</f>
        <v>n/a</v>
      </c>
      <c r="K495" s="2" t="str">
        <f>Table1[[#This Row],[Group Name]]</f>
        <v>Writers and Editors</v>
      </c>
    </row>
    <row r="496" spans="2:11" x14ac:dyDescent="0.25">
      <c r="D496" s="5" t="s">
        <v>906</v>
      </c>
      <c r="E496" s="5" t="s">
        <v>907</v>
      </c>
      <c r="F4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96" s="2" t="str">
        <f>IF(Table1[[#This Row],[Type]]="Major",Table1[[#This Row],[Major Group]],G495)</f>
        <v>27-0000</v>
      </c>
      <c r="H496" s="2" t="str">
        <f>IF(Table1[[#This Row],[Major Group]]&lt;&gt;"","n/a",IF(Table1[[#This Row],[Minor Group]]&lt;&gt;"",Table1[[#This Row],[Minor Group]],H495))</f>
        <v>27-3000</v>
      </c>
      <c r="I496" s="2" t="str">
        <f>IF(Table1[[#This Row],[Major Group]]&lt;&gt;"","n/a",IF(Table1[[#This Row],[Minor Group]]&lt;&gt;"","n/a",IF(Table1[[#This Row],[Broad Group]]&lt;&gt;"",Table1[[#This Row],[Broad Group]],I495)))</f>
        <v>27-3040</v>
      </c>
      <c r="J4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Occupation]],J495))))</f>
        <v>27-3041</v>
      </c>
      <c r="K496" s="2" t="str">
        <f>Table1[[#This Row],[Group Name]]</f>
        <v>Editors</v>
      </c>
    </row>
    <row r="497" spans="2:11" x14ac:dyDescent="0.25">
      <c r="D497" s="5" t="s">
        <v>908</v>
      </c>
      <c r="E497" s="5" t="s">
        <v>909</v>
      </c>
      <c r="F4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97" s="2" t="str">
        <f>IF(Table1[[#This Row],[Type]]="Major",Table1[[#This Row],[Major Group]],G496)</f>
        <v>27-0000</v>
      </c>
      <c r="H497" s="2" t="str">
        <f>IF(Table1[[#This Row],[Major Group]]&lt;&gt;"","n/a",IF(Table1[[#This Row],[Minor Group]]&lt;&gt;"",Table1[[#This Row],[Minor Group]],H496))</f>
        <v>27-3000</v>
      </c>
      <c r="I497" s="2" t="str">
        <f>IF(Table1[[#This Row],[Major Group]]&lt;&gt;"","n/a",IF(Table1[[#This Row],[Minor Group]]&lt;&gt;"","n/a",IF(Table1[[#This Row],[Broad Group]]&lt;&gt;"",Table1[[#This Row],[Broad Group]],I496)))</f>
        <v>27-3040</v>
      </c>
      <c r="J4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Occupation]],J496))))</f>
        <v>27-3042</v>
      </c>
      <c r="K497" s="2" t="str">
        <f>Table1[[#This Row],[Group Name]]</f>
        <v>Technical Writers</v>
      </c>
    </row>
    <row r="498" spans="2:11" x14ac:dyDescent="0.25">
      <c r="D498" s="5" t="s">
        <v>910</v>
      </c>
      <c r="E498" s="5" t="s">
        <v>911</v>
      </c>
      <c r="F4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498" s="2" t="str">
        <f>IF(Table1[[#This Row],[Type]]="Major",Table1[[#This Row],[Major Group]],G497)</f>
        <v>27-0000</v>
      </c>
      <c r="H498" s="2" t="str">
        <f>IF(Table1[[#This Row],[Major Group]]&lt;&gt;"","n/a",IF(Table1[[#This Row],[Minor Group]]&lt;&gt;"",Table1[[#This Row],[Minor Group]],H497))</f>
        <v>27-3000</v>
      </c>
      <c r="I498" s="2" t="str">
        <f>IF(Table1[[#This Row],[Major Group]]&lt;&gt;"","n/a",IF(Table1[[#This Row],[Minor Group]]&lt;&gt;"","n/a",IF(Table1[[#This Row],[Broad Group]]&lt;&gt;"",Table1[[#This Row],[Broad Group]],I497)))</f>
        <v>27-3040</v>
      </c>
      <c r="J4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Occupation]],J497))))</f>
        <v>27-3043</v>
      </c>
      <c r="K498" s="2" t="str">
        <f>Table1[[#This Row],[Group Name]]</f>
        <v>Writers and Authors</v>
      </c>
    </row>
    <row r="499" spans="2:11" ht="30" x14ac:dyDescent="0.25">
      <c r="C499" s="1" t="s">
        <v>912</v>
      </c>
      <c r="E499" s="1" t="s">
        <v>913</v>
      </c>
      <c r="F4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499" s="2" t="str">
        <f>IF(Table1[[#This Row],[Type]]="Major",Table1[[#This Row],[Major Group]],G498)</f>
        <v>27-0000</v>
      </c>
      <c r="H499" s="2" t="str">
        <f>IF(Table1[[#This Row],[Major Group]]&lt;&gt;"","n/a",IF(Table1[[#This Row],[Minor Group]]&lt;&gt;"",Table1[[#This Row],[Minor Group]],H498))</f>
        <v>27-3000</v>
      </c>
      <c r="I499" s="2" t="str">
        <f>IF(Table1[[#This Row],[Major Group]]&lt;&gt;"","n/a",IF(Table1[[#This Row],[Minor Group]]&lt;&gt;"","n/a",IF(Table1[[#This Row],[Broad Group]]&lt;&gt;"",Table1[[#This Row],[Broad Group]],I498)))</f>
        <v>27-3090</v>
      </c>
      <c r="J4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Occupation]],J498))))</f>
        <v>n/a</v>
      </c>
      <c r="K499" s="2" t="str">
        <f>Table1[[#This Row],[Group Name]]</f>
        <v>Miscellaneous Media and Communication Workers</v>
      </c>
    </row>
    <row r="500" spans="2:11" x14ac:dyDescent="0.25">
      <c r="D500" s="5" t="s">
        <v>914</v>
      </c>
      <c r="E500" s="5" t="s">
        <v>915</v>
      </c>
      <c r="F5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0" s="2" t="str">
        <f>IF(Table1[[#This Row],[Type]]="Major",Table1[[#This Row],[Major Group]],G499)</f>
        <v>27-0000</v>
      </c>
      <c r="H500" s="2" t="str">
        <f>IF(Table1[[#This Row],[Major Group]]&lt;&gt;"","n/a",IF(Table1[[#This Row],[Minor Group]]&lt;&gt;"",Table1[[#This Row],[Minor Group]],H499))</f>
        <v>27-3000</v>
      </c>
      <c r="I500" s="2" t="str">
        <f>IF(Table1[[#This Row],[Major Group]]&lt;&gt;"","n/a",IF(Table1[[#This Row],[Minor Group]]&lt;&gt;"","n/a",IF(Table1[[#This Row],[Broad Group]]&lt;&gt;"",Table1[[#This Row],[Broad Group]],I499)))</f>
        <v>27-3090</v>
      </c>
      <c r="J5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Occupation]],J499))))</f>
        <v>27-3091</v>
      </c>
      <c r="K500" s="2" t="str">
        <f>Table1[[#This Row],[Group Name]]</f>
        <v>Interpreters and Translators</v>
      </c>
    </row>
    <row r="501" spans="2:11" ht="25.5" x14ac:dyDescent="0.25">
      <c r="D501" s="5" t="s">
        <v>916</v>
      </c>
      <c r="E501" s="5" t="s">
        <v>917</v>
      </c>
      <c r="F5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1" s="2" t="str">
        <f>IF(Table1[[#This Row],[Type]]="Major",Table1[[#This Row],[Major Group]],G500)</f>
        <v>27-0000</v>
      </c>
      <c r="H501" s="2" t="str">
        <f>IF(Table1[[#This Row],[Major Group]]&lt;&gt;"","n/a",IF(Table1[[#This Row],[Minor Group]]&lt;&gt;"",Table1[[#This Row],[Minor Group]],H500))</f>
        <v>27-3000</v>
      </c>
      <c r="I501" s="2" t="str">
        <f>IF(Table1[[#This Row],[Major Group]]&lt;&gt;"","n/a",IF(Table1[[#This Row],[Minor Group]]&lt;&gt;"","n/a",IF(Table1[[#This Row],[Broad Group]]&lt;&gt;"",Table1[[#This Row],[Broad Group]],I500)))</f>
        <v>27-3090</v>
      </c>
      <c r="J5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Occupation]],J500))))</f>
        <v>27-3092</v>
      </c>
      <c r="K501" s="2" t="str">
        <f>Table1[[#This Row],[Group Name]]</f>
        <v>Court Reporters and Simultaneous Captioners</v>
      </c>
    </row>
    <row r="502" spans="2:11" ht="25.5" x14ac:dyDescent="0.25">
      <c r="D502" s="5" t="s">
        <v>918</v>
      </c>
      <c r="E502" s="5" t="s">
        <v>919</v>
      </c>
      <c r="F5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2" s="2" t="str">
        <f>IF(Table1[[#This Row],[Type]]="Major",Table1[[#This Row],[Major Group]],G501)</f>
        <v>27-0000</v>
      </c>
      <c r="H502" s="2" t="str">
        <f>IF(Table1[[#This Row],[Major Group]]&lt;&gt;"","n/a",IF(Table1[[#This Row],[Minor Group]]&lt;&gt;"",Table1[[#This Row],[Minor Group]],H501))</f>
        <v>27-3000</v>
      </c>
      <c r="I502" s="2" t="str">
        <f>IF(Table1[[#This Row],[Major Group]]&lt;&gt;"","n/a",IF(Table1[[#This Row],[Minor Group]]&lt;&gt;"","n/a",IF(Table1[[#This Row],[Broad Group]]&lt;&gt;"",Table1[[#This Row],[Broad Group]],I501)))</f>
        <v>27-3090</v>
      </c>
      <c r="J5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Occupation]],J501))))</f>
        <v>27-3099</v>
      </c>
      <c r="K502" s="2" t="str">
        <f>Table1[[#This Row],[Group Name]]</f>
        <v>Media and Communication Workers, All Other</v>
      </c>
    </row>
    <row r="503" spans="2:11" x14ac:dyDescent="0.25">
      <c r="B503" s="3" t="s">
        <v>920</v>
      </c>
      <c r="E503" s="3" t="s">
        <v>921</v>
      </c>
      <c r="F5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503" s="2" t="str">
        <f>IF(Table1[[#This Row],[Type]]="Major",Table1[[#This Row],[Major Group]],G502)</f>
        <v>27-0000</v>
      </c>
      <c r="H503" s="2" t="str">
        <f>IF(Table1[[#This Row],[Major Group]]&lt;&gt;"","n/a",IF(Table1[[#This Row],[Minor Group]]&lt;&gt;"",Table1[[#This Row],[Minor Group]],H502))</f>
        <v>27-4000</v>
      </c>
      <c r="I503" s="2" t="str">
        <f>IF(Table1[[#This Row],[Major Group]]&lt;&gt;"","n/a",IF(Table1[[#This Row],[Minor Group]]&lt;&gt;"","n/a",IF(Table1[[#This Row],[Broad Group]]&lt;&gt;"",Table1[[#This Row],[Broad Group]],I502)))</f>
        <v>n/a</v>
      </c>
      <c r="J5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Occupation]],J502))))</f>
        <v>n/a</v>
      </c>
      <c r="K503" s="2" t="str">
        <f>Table1[[#This Row],[Group Name]]</f>
        <v>Media and Communication Equipment Workers</v>
      </c>
    </row>
    <row r="504" spans="2:11" ht="30" x14ac:dyDescent="0.25">
      <c r="C504" s="1" t="s">
        <v>922</v>
      </c>
      <c r="E504" s="1" t="s">
        <v>923</v>
      </c>
      <c r="F5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04" s="2" t="str">
        <f>IF(Table1[[#This Row],[Type]]="Major",Table1[[#This Row],[Major Group]],G503)</f>
        <v>27-0000</v>
      </c>
      <c r="H504" s="2" t="str">
        <f>IF(Table1[[#This Row],[Major Group]]&lt;&gt;"","n/a",IF(Table1[[#This Row],[Minor Group]]&lt;&gt;"",Table1[[#This Row],[Minor Group]],H503))</f>
        <v>27-4000</v>
      </c>
      <c r="I504" s="2" t="str">
        <f>IF(Table1[[#This Row],[Major Group]]&lt;&gt;"","n/a",IF(Table1[[#This Row],[Minor Group]]&lt;&gt;"","n/a",IF(Table1[[#This Row],[Broad Group]]&lt;&gt;"",Table1[[#This Row],[Broad Group]],I503)))</f>
        <v>27-4010</v>
      </c>
      <c r="J5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Occupation]],J503))))</f>
        <v>n/a</v>
      </c>
      <c r="K504" s="2" t="str">
        <f>Table1[[#This Row],[Group Name]]</f>
        <v>Broadcast, Sound, and Lighting Technicians</v>
      </c>
    </row>
    <row r="505" spans="2:11" x14ac:dyDescent="0.25">
      <c r="D505" s="5" t="s">
        <v>924</v>
      </c>
      <c r="E505" s="5" t="s">
        <v>925</v>
      </c>
      <c r="F5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5" s="2" t="str">
        <f>IF(Table1[[#This Row],[Type]]="Major",Table1[[#This Row],[Major Group]],G504)</f>
        <v>27-0000</v>
      </c>
      <c r="H505" s="2" t="str">
        <f>IF(Table1[[#This Row],[Major Group]]&lt;&gt;"","n/a",IF(Table1[[#This Row],[Minor Group]]&lt;&gt;"",Table1[[#This Row],[Minor Group]],H504))</f>
        <v>27-4000</v>
      </c>
      <c r="I505" s="2" t="str">
        <f>IF(Table1[[#This Row],[Major Group]]&lt;&gt;"","n/a",IF(Table1[[#This Row],[Minor Group]]&lt;&gt;"","n/a",IF(Table1[[#This Row],[Broad Group]]&lt;&gt;"",Table1[[#This Row],[Broad Group]],I504)))</f>
        <v>27-4010</v>
      </c>
      <c r="J5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Occupation]],J504))))</f>
        <v>27-4011</v>
      </c>
      <c r="K505" s="2" t="str">
        <f>Table1[[#This Row],[Group Name]]</f>
        <v>Audio and Video Technicians</v>
      </c>
    </row>
    <row r="506" spans="2:11" x14ac:dyDescent="0.25">
      <c r="D506" s="5" t="s">
        <v>926</v>
      </c>
      <c r="E506" s="5" t="s">
        <v>927</v>
      </c>
      <c r="F5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6" s="2" t="str">
        <f>IF(Table1[[#This Row],[Type]]="Major",Table1[[#This Row],[Major Group]],G505)</f>
        <v>27-0000</v>
      </c>
      <c r="H506" s="2" t="str">
        <f>IF(Table1[[#This Row],[Major Group]]&lt;&gt;"","n/a",IF(Table1[[#This Row],[Minor Group]]&lt;&gt;"",Table1[[#This Row],[Minor Group]],H505))</f>
        <v>27-4000</v>
      </c>
      <c r="I506" s="2" t="str">
        <f>IF(Table1[[#This Row],[Major Group]]&lt;&gt;"","n/a",IF(Table1[[#This Row],[Minor Group]]&lt;&gt;"","n/a",IF(Table1[[#This Row],[Broad Group]]&lt;&gt;"",Table1[[#This Row],[Broad Group]],I505)))</f>
        <v>27-4010</v>
      </c>
      <c r="J5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Occupation]],J505))))</f>
        <v>27-4012</v>
      </c>
      <c r="K506" s="2" t="str">
        <f>Table1[[#This Row],[Group Name]]</f>
        <v>Broadcast Technicians</v>
      </c>
    </row>
    <row r="507" spans="2:11" x14ac:dyDescent="0.25">
      <c r="D507" s="5" t="s">
        <v>928</v>
      </c>
      <c r="E507" s="5" t="s">
        <v>929</v>
      </c>
      <c r="F5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7" s="2" t="str">
        <f>IF(Table1[[#This Row],[Type]]="Major",Table1[[#This Row],[Major Group]],G506)</f>
        <v>27-0000</v>
      </c>
      <c r="H507" s="2" t="str">
        <f>IF(Table1[[#This Row],[Major Group]]&lt;&gt;"","n/a",IF(Table1[[#This Row],[Minor Group]]&lt;&gt;"",Table1[[#This Row],[Minor Group]],H506))</f>
        <v>27-4000</v>
      </c>
      <c r="I507" s="2" t="str">
        <f>IF(Table1[[#This Row],[Major Group]]&lt;&gt;"","n/a",IF(Table1[[#This Row],[Minor Group]]&lt;&gt;"","n/a",IF(Table1[[#This Row],[Broad Group]]&lt;&gt;"",Table1[[#This Row],[Broad Group]],I506)))</f>
        <v>27-4010</v>
      </c>
      <c r="J5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Occupation]],J506))))</f>
        <v>27-4014</v>
      </c>
      <c r="K507" s="2" t="str">
        <f>Table1[[#This Row],[Group Name]]</f>
        <v>Sound Engineering Technicians</v>
      </c>
    </row>
    <row r="508" spans="2:11" x14ac:dyDescent="0.25">
      <c r="D508" s="5" t="s">
        <v>930</v>
      </c>
      <c r="E508" s="5" t="s">
        <v>931</v>
      </c>
      <c r="F5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08" s="2" t="str">
        <f>IF(Table1[[#This Row],[Type]]="Major",Table1[[#This Row],[Major Group]],G507)</f>
        <v>27-0000</v>
      </c>
      <c r="H508" s="2" t="str">
        <f>IF(Table1[[#This Row],[Major Group]]&lt;&gt;"","n/a",IF(Table1[[#This Row],[Minor Group]]&lt;&gt;"",Table1[[#This Row],[Minor Group]],H507))</f>
        <v>27-4000</v>
      </c>
      <c r="I508" s="2" t="str">
        <f>IF(Table1[[#This Row],[Major Group]]&lt;&gt;"","n/a",IF(Table1[[#This Row],[Minor Group]]&lt;&gt;"","n/a",IF(Table1[[#This Row],[Broad Group]]&lt;&gt;"",Table1[[#This Row],[Broad Group]],I507)))</f>
        <v>27-4010</v>
      </c>
      <c r="J5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Occupation]],J507))))</f>
        <v>27-4015</v>
      </c>
      <c r="K508" s="2" t="str">
        <f>Table1[[#This Row],[Group Name]]</f>
        <v>Lighting Technicians</v>
      </c>
    </row>
    <row r="509" spans="2:11" x14ac:dyDescent="0.25">
      <c r="C509" s="1" t="s">
        <v>932</v>
      </c>
      <c r="E509" s="1" t="s">
        <v>933</v>
      </c>
      <c r="F5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09" s="2" t="str">
        <f>IF(Table1[[#This Row],[Type]]="Major",Table1[[#This Row],[Major Group]],G508)</f>
        <v>27-0000</v>
      </c>
      <c r="H509" s="2" t="str">
        <f>IF(Table1[[#This Row],[Major Group]]&lt;&gt;"","n/a",IF(Table1[[#This Row],[Minor Group]]&lt;&gt;"",Table1[[#This Row],[Minor Group]],H508))</f>
        <v>27-4000</v>
      </c>
      <c r="I509" s="2" t="str">
        <f>IF(Table1[[#This Row],[Major Group]]&lt;&gt;"","n/a",IF(Table1[[#This Row],[Minor Group]]&lt;&gt;"","n/a",IF(Table1[[#This Row],[Broad Group]]&lt;&gt;"",Table1[[#This Row],[Broad Group]],I508)))</f>
        <v>27-4020</v>
      </c>
      <c r="J5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Occupation]],J508))))</f>
        <v>n/a</v>
      </c>
      <c r="K509" s="2" t="str">
        <f>Table1[[#This Row],[Group Name]]</f>
        <v>Photographers</v>
      </c>
    </row>
    <row r="510" spans="2:11" x14ac:dyDescent="0.25">
      <c r="D510" s="5" t="s">
        <v>934</v>
      </c>
      <c r="E510" s="5" t="s">
        <v>933</v>
      </c>
      <c r="F5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10" s="2" t="str">
        <f>IF(Table1[[#This Row],[Type]]="Major",Table1[[#This Row],[Major Group]],G509)</f>
        <v>27-0000</v>
      </c>
      <c r="H510" s="2" t="str">
        <f>IF(Table1[[#This Row],[Major Group]]&lt;&gt;"","n/a",IF(Table1[[#This Row],[Minor Group]]&lt;&gt;"",Table1[[#This Row],[Minor Group]],H509))</f>
        <v>27-4000</v>
      </c>
      <c r="I510" s="2" t="str">
        <f>IF(Table1[[#This Row],[Major Group]]&lt;&gt;"","n/a",IF(Table1[[#This Row],[Minor Group]]&lt;&gt;"","n/a",IF(Table1[[#This Row],[Broad Group]]&lt;&gt;"",Table1[[#This Row],[Broad Group]],I509)))</f>
        <v>27-4020</v>
      </c>
      <c r="J5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Occupation]],J509))))</f>
        <v>27-4021</v>
      </c>
      <c r="K510" s="2" t="str">
        <f>Table1[[#This Row],[Group Name]]</f>
        <v>Photographers</v>
      </c>
    </row>
    <row r="511" spans="2:11" ht="30" x14ac:dyDescent="0.25">
      <c r="C511" s="1" t="s">
        <v>935</v>
      </c>
      <c r="E511" s="1" t="s">
        <v>936</v>
      </c>
      <c r="F5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11" s="2" t="str">
        <f>IF(Table1[[#This Row],[Type]]="Major",Table1[[#This Row],[Major Group]],G510)</f>
        <v>27-0000</v>
      </c>
      <c r="H511" s="2" t="str">
        <f>IF(Table1[[#This Row],[Major Group]]&lt;&gt;"","n/a",IF(Table1[[#This Row],[Minor Group]]&lt;&gt;"",Table1[[#This Row],[Minor Group]],H510))</f>
        <v>27-4000</v>
      </c>
      <c r="I511" s="2" t="str">
        <f>IF(Table1[[#This Row],[Major Group]]&lt;&gt;"","n/a",IF(Table1[[#This Row],[Minor Group]]&lt;&gt;"","n/a",IF(Table1[[#This Row],[Broad Group]]&lt;&gt;"",Table1[[#This Row],[Broad Group]],I510)))</f>
        <v>27-4030</v>
      </c>
      <c r="J5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Occupation]],J510))))</f>
        <v>n/a</v>
      </c>
      <c r="K511" s="2" t="str">
        <f>Table1[[#This Row],[Group Name]]</f>
        <v>Television, Video, and Film Camera Operators and Editors</v>
      </c>
    </row>
    <row r="512" spans="2:11" ht="25.5" x14ac:dyDescent="0.25">
      <c r="D512" s="5" t="s">
        <v>937</v>
      </c>
      <c r="E512" s="5" t="s">
        <v>938</v>
      </c>
      <c r="F5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12" s="2" t="str">
        <f>IF(Table1[[#This Row],[Type]]="Major",Table1[[#This Row],[Major Group]],G511)</f>
        <v>27-0000</v>
      </c>
      <c r="H512" s="2" t="str">
        <f>IF(Table1[[#This Row],[Major Group]]&lt;&gt;"","n/a",IF(Table1[[#This Row],[Minor Group]]&lt;&gt;"",Table1[[#This Row],[Minor Group]],H511))</f>
        <v>27-4000</v>
      </c>
      <c r="I512" s="2" t="str">
        <f>IF(Table1[[#This Row],[Major Group]]&lt;&gt;"","n/a",IF(Table1[[#This Row],[Minor Group]]&lt;&gt;"","n/a",IF(Table1[[#This Row],[Broad Group]]&lt;&gt;"",Table1[[#This Row],[Broad Group]],I511)))</f>
        <v>27-4030</v>
      </c>
      <c r="J5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Occupation]],J511))))</f>
        <v>27-4031</v>
      </c>
      <c r="K512" s="2" t="str">
        <f>Table1[[#This Row],[Group Name]]</f>
        <v>Camera Operators, Television, Video, and Film</v>
      </c>
    </row>
    <row r="513" spans="1:11" x14ac:dyDescent="0.25">
      <c r="D513" s="5" t="s">
        <v>939</v>
      </c>
      <c r="E513" s="5" t="s">
        <v>940</v>
      </c>
      <c r="F5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13" s="2" t="str">
        <f>IF(Table1[[#This Row],[Type]]="Major",Table1[[#This Row],[Major Group]],G512)</f>
        <v>27-0000</v>
      </c>
      <c r="H513" s="2" t="str">
        <f>IF(Table1[[#This Row],[Major Group]]&lt;&gt;"","n/a",IF(Table1[[#This Row],[Minor Group]]&lt;&gt;"",Table1[[#This Row],[Minor Group]],H512))</f>
        <v>27-4000</v>
      </c>
      <c r="I513" s="2" t="str">
        <f>IF(Table1[[#This Row],[Major Group]]&lt;&gt;"","n/a",IF(Table1[[#This Row],[Minor Group]]&lt;&gt;"","n/a",IF(Table1[[#This Row],[Broad Group]]&lt;&gt;"",Table1[[#This Row],[Broad Group]],I512)))</f>
        <v>27-4030</v>
      </c>
      <c r="J5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Occupation]],J512))))</f>
        <v>27-4032</v>
      </c>
      <c r="K513" s="2" t="str">
        <f>Table1[[#This Row],[Group Name]]</f>
        <v>Film and Video Editors</v>
      </c>
    </row>
    <row r="514" spans="1:11" ht="45" x14ac:dyDescent="0.25">
      <c r="C514" s="1" t="s">
        <v>941</v>
      </c>
      <c r="E514" s="1" t="s">
        <v>942</v>
      </c>
      <c r="F5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14" s="2" t="str">
        <f>IF(Table1[[#This Row],[Type]]="Major",Table1[[#This Row],[Major Group]],G513)</f>
        <v>27-0000</v>
      </c>
      <c r="H514" s="2" t="str">
        <f>IF(Table1[[#This Row],[Major Group]]&lt;&gt;"","n/a",IF(Table1[[#This Row],[Minor Group]]&lt;&gt;"",Table1[[#This Row],[Minor Group]],H513))</f>
        <v>27-4000</v>
      </c>
      <c r="I514" s="2" t="str">
        <f>IF(Table1[[#This Row],[Major Group]]&lt;&gt;"","n/a",IF(Table1[[#This Row],[Minor Group]]&lt;&gt;"","n/a",IF(Table1[[#This Row],[Broad Group]]&lt;&gt;"",Table1[[#This Row],[Broad Group]],I513)))</f>
        <v>27-4090</v>
      </c>
      <c r="J5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Occupation]],J513))))</f>
        <v>n/a</v>
      </c>
      <c r="K514" s="2" t="str">
        <f>Table1[[#This Row],[Group Name]]</f>
        <v>Miscellaneous Media and Communication Equipment Workers</v>
      </c>
    </row>
    <row r="515" spans="1:11" ht="25.5" x14ac:dyDescent="0.25">
      <c r="D515" s="5" t="s">
        <v>943</v>
      </c>
      <c r="E515" s="5" t="s">
        <v>944</v>
      </c>
      <c r="F5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15" s="2" t="str">
        <f>IF(Table1[[#This Row],[Type]]="Major",Table1[[#This Row],[Major Group]],G514)</f>
        <v>27-0000</v>
      </c>
      <c r="H515" s="2" t="str">
        <f>IF(Table1[[#This Row],[Major Group]]&lt;&gt;"","n/a",IF(Table1[[#This Row],[Minor Group]]&lt;&gt;"",Table1[[#This Row],[Minor Group]],H514))</f>
        <v>27-4000</v>
      </c>
      <c r="I515" s="2" t="str">
        <f>IF(Table1[[#This Row],[Major Group]]&lt;&gt;"","n/a",IF(Table1[[#This Row],[Minor Group]]&lt;&gt;"","n/a",IF(Table1[[#This Row],[Broad Group]]&lt;&gt;"",Table1[[#This Row],[Broad Group]],I514)))</f>
        <v>27-4090</v>
      </c>
      <c r="J5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Occupation]],J514))))</f>
        <v>27-4099</v>
      </c>
      <c r="K515" s="2" t="str">
        <f>Table1[[#This Row],[Group Name]]</f>
        <v>Media and Communication Equipment Workers, All Other</v>
      </c>
    </row>
    <row r="516" spans="1:11" ht="15.75" x14ac:dyDescent="0.25">
      <c r="A516" s="4" t="s">
        <v>945</v>
      </c>
      <c r="E516" s="4" t="s">
        <v>946</v>
      </c>
      <c r="F5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516" s="2" t="str">
        <f>IF(Table1[[#This Row],[Type]]="Major",Table1[[#This Row],[Major Group]],G515)</f>
        <v>29-0000</v>
      </c>
      <c r="H516" s="2" t="str">
        <f>IF(Table1[[#This Row],[Major Group]]&lt;&gt;"","n/a",IF(Table1[[#This Row],[Minor Group]]&lt;&gt;"",Table1[[#This Row],[Minor Group]],H515))</f>
        <v>n/a</v>
      </c>
      <c r="I516" s="2" t="str">
        <f>IF(Table1[[#This Row],[Major Group]]&lt;&gt;"","n/a",IF(Table1[[#This Row],[Minor Group]]&lt;&gt;"","n/a",IF(Table1[[#This Row],[Broad Group]]&lt;&gt;"",Table1[[#This Row],[Broad Group]],I515)))</f>
        <v>n/a</v>
      </c>
      <c r="J5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Occupation]],J515))))</f>
        <v>n/a</v>
      </c>
      <c r="K516" s="2" t="str">
        <f>Table1[[#This Row],[Group Name]]</f>
        <v>Healthcare Practitioners and Technical Occupations</v>
      </c>
    </row>
    <row r="517" spans="1:11" x14ac:dyDescent="0.25">
      <c r="B517" s="3" t="s">
        <v>947</v>
      </c>
      <c r="E517" s="3" t="s">
        <v>948</v>
      </c>
      <c r="F5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517" s="2" t="str">
        <f>IF(Table1[[#This Row],[Type]]="Major",Table1[[#This Row],[Major Group]],G516)</f>
        <v>29-0000</v>
      </c>
      <c r="H517" s="2" t="str">
        <f>IF(Table1[[#This Row],[Major Group]]&lt;&gt;"","n/a",IF(Table1[[#This Row],[Minor Group]]&lt;&gt;"",Table1[[#This Row],[Minor Group]],H516))</f>
        <v>29-1000</v>
      </c>
      <c r="I517" s="2" t="str">
        <f>IF(Table1[[#This Row],[Major Group]]&lt;&gt;"","n/a",IF(Table1[[#This Row],[Minor Group]]&lt;&gt;"","n/a",IF(Table1[[#This Row],[Broad Group]]&lt;&gt;"",Table1[[#This Row],[Broad Group]],I516)))</f>
        <v>n/a</v>
      </c>
      <c r="J5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Occupation]],J516))))</f>
        <v>n/a</v>
      </c>
      <c r="K517" s="2" t="str">
        <f>Table1[[#This Row],[Group Name]]</f>
        <v>Healthcare Diagnosing or Treating Practitioners</v>
      </c>
    </row>
    <row r="518" spans="1:11" x14ac:dyDescent="0.25">
      <c r="C518" s="1" t="s">
        <v>949</v>
      </c>
      <c r="E518" s="1" t="s">
        <v>950</v>
      </c>
      <c r="F5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18" s="2" t="str">
        <f>IF(Table1[[#This Row],[Type]]="Major",Table1[[#This Row],[Major Group]],G517)</f>
        <v>29-0000</v>
      </c>
      <c r="H518" s="2" t="str">
        <f>IF(Table1[[#This Row],[Major Group]]&lt;&gt;"","n/a",IF(Table1[[#This Row],[Minor Group]]&lt;&gt;"",Table1[[#This Row],[Minor Group]],H517))</f>
        <v>29-1000</v>
      </c>
      <c r="I518" s="2" t="str">
        <f>IF(Table1[[#This Row],[Major Group]]&lt;&gt;"","n/a",IF(Table1[[#This Row],[Minor Group]]&lt;&gt;"","n/a",IF(Table1[[#This Row],[Broad Group]]&lt;&gt;"",Table1[[#This Row],[Broad Group]],I517)))</f>
        <v>29-1010</v>
      </c>
      <c r="J5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Occupation]],J517))))</f>
        <v>n/a</v>
      </c>
      <c r="K518" s="2" t="str">
        <f>Table1[[#This Row],[Group Name]]</f>
        <v>Chiropractors</v>
      </c>
    </row>
    <row r="519" spans="1:11" x14ac:dyDescent="0.25">
      <c r="D519" s="5" t="s">
        <v>951</v>
      </c>
      <c r="E519" s="5" t="s">
        <v>950</v>
      </c>
      <c r="F5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19" s="2" t="str">
        <f>IF(Table1[[#This Row],[Type]]="Major",Table1[[#This Row],[Major Group]],G518)</f>
        <v>29-0000</v>
      </c>
      <c r="H519" s="2" t="str">
        <f>IF(Table1[[#This Row],[Major Group]]&lt;&gt;"","n/a",IF(Table1[[#This Row],[Minor Group]]&lt;&gt;"",Table1[[#This Row],[Minor Group]],H518))</f>
        <v>29-1000</v>
      </c>
      <c r="I519" s="2" t="str">
        <f>IF(Table1[[#This Row],[Major Group]]&lt;&gt;"","n/a",IF(Table1[[#This Row],[Minor Group]]&lt;&gt;"","n/a",IF(Table1[[#This Row],[Broad Group]]&lt;&gt;"",Table1[[#This Row],[Broad Group]],I518)))</f>
        <v>29-1010</v>
      </c>
      <c r="J5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Occupation]],J518))))</f>
        <v>29-1011</v>
      </c>
      <c r="K519" s="2" t="str">
        <f>Table1[[#This Row],[Group Name]]</f>
        <v>Chiropractors</v>
      </c>
    </row>
    <row r="520" spans="1:11" x14ac:dyDescent="0.25">
      <c r="C520" s="1" t="s">
        <v>952</v>
      </c>
      <c r="E520" s="1" t="s">
        <v>953</v>
      </c>
      <c r="F5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20" s="2" t="str">
        <f>IF(Table1[[#This Row],[Type]]="Major",Table1[[#This Row],[Major Group]],G519)</f>
        <v>29-0000</v>
      </c>
      <c r="H520" s="2" t="str">
        <f>IF(Table1[[#This Row],[Major Group]]&lt;&gt;"","n/a",IF(Table1[[#This Row],[Minor Group]]&lt;&gt;"",Table1[[#This Row],[Minor Group]],H519))</f>
        <v>29-1000</v>
      </c>
      <c r="I520" s="2" t="str">
        <f>IF(Table1[[#This Row],[Major Group]]&lt;&gt;"","n/a",IF(Table1[[#This Row],[Minor Group]]&lt;&gt;"","n/a",IF(Table1[[#This Row],[Broad Group]]&lt;&gt;"",Table1[[#This Row],[Broad Group]],I519)))</f>
        <v>29-1020</v>
      </c>
      <c r="J5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Occupation]],J519))))</f>
        <v>n/a</v>
      </c>
      <c r="K520" s="2" t="str">
        <f>Table1[[#This Row],[Group Name]]</f>
        <v>Dentists</v>
      </c>
    </row>
    <row r="521" spans="1:11" x14ac:dyDescent="0.25">
      <c r="D521" s="5" t="s">
        <v>954</v>
      </c>
      <c r="E521" s="5" t="s">
        <v>955</v>
      </c>
      <c r="F5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1" s="2" t="str">
        <f>IF(Table1[[#This Row],[Type]]="Major",Table1[[#This Row],[Major Group]],G520)</f>
        <v>29-0000</v>
      </c>
      <c r="H521" s="2" t="str">
        <f>IF(Table1[[#This Row],[Major Group]]&lt;&gt;"","n/a",IF(Table1[[#This Row],[Minor Group]]&lt;&gt;"",Table1[[#This Row],[Minor Group]],H520))</f>
        <v>29-1000</v>
      </c>
      <c r="I521" s="2" t="str">
        <f>IF(Table1[[#This Row],[Major Group]]&lt;&gt;"","n/a",IF(Table1[[#This Row],[Minor Group]]&lt;&gt;"","n/a",IF(Table1[[#This Row],[Broad Group]]&lt;&gt;"",Table1[[#This Row],[Broad Group]],I520)))</f>
        <v>29-1020</v>
      </c>
      <c r="J5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Occupation]],J520))))</f>
        <v>29-1021</v>
      </c>
      <c r="K521" s="2" t="str">
        <f>Table1[[#This Row],[Group Name]]</f>
        <v>Dentists, General</v>
      </c>
    </row>
    <row r="522" spans="1:11" x14ac:dyDescent="0.25">
      <c r="D522" s="5" t="s">
        <v>956</v>
      </c>
      <c r="E522" s="5" t="s">
        <v>957</v>
      </c>
      <c r="F5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2" s="2" t="str">
        <f>IF(Table1[[#This Row],[Type]]="Major",Table1[[#This Row],[Major Group]],G521)</f>
        <v>29-0000</v>
      </c>
      <c r="H522" s="2" t="str">
        <f>IF(Table1[[#This Row],[Major Group]]&lt;&gt;"","n/a",IF(Table1[[#This Row],[Minor Group]]&lt;&gt;"",Table1[[#This Row],[Minor Group]],H521))</f>
        <v>29-1000</v>
      </c>
      <c r="I522" s="2" t="str">
        <f>IF(Table1[[#This Row],[Major Group]]&lt;&gt;"","n/a",IF(Table1[[#This Row],[Minor Group]]&lt;&gt;"","n/a",IF(Table1[[#This Row],[Broad Group]]&lt;&gt;"",Table1[[#This Row],[Broad Group]],I521)))</f>
        <v>29-1020</v>
      </c>
      <c r="J5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Occupation]],J521))))</f>
        <v>29-1022</v>
      </c>
      <c r="K522" s="2" t="str">
        <f>Table1[[#This Row],[Group Name]]</f>
        <v>Oral and Maxillofacial Surgeons</v>
      </c>
    </row>
    <row r="523" spans="1:11" x14ac:dyDescent="0.25">
      <c r="D523" s="5" t="s">
        <v>958</v>
      </c>
      <c r="E523" s="5" t="s">
        <v>959</v>
      </c>
      <c r="F5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3" s="2" t="str">
        <f>IF(Table1[[#This Row],[Type]]="Major",Table1[[#This Row],[Major Group]],G522)</f>
        <v>29-0000</v>
      </c>
      <c r="H523" s="2" t="str">
        <f>IF(Table1[[#This Row],[Major Group]]&lt;&gt;"","n/a",IF(Table1[[#This Row],[Minor Group]]&lt;&gt;"",Table1[[#This Row],[Minor Group]],H522))</f>
        <v>29-1000</v>
      </c>
      <c r="I523" s="2" t="str">
        <f>IF(Table1[[#This Row],[Major Group]]&lt;&gt;"","n/a",IF(Table1[[#This Row],[Minor Group]]&lt;&gt;"","n/a",IF(Table1[[#This Row],[Broad Group]]&lt;&gt;"",Table1[[#This Row],[Broad Group]],I522)))</f>
        <v>29-1020</v>
      </c>
      <c r="J5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Occupation]],J522))))</f>
        <v>29-1023</v>
      </c>
      <c r="K523" s="2" t="str">
        <f>Table1[[#This Row],[Group Name]]</f>
        <v>Orthodontists</v>
      </c>
    </row>
    <row r="524" spans="1:11" x14ac:dyDescent="0.25">
      <c r="D524" s="5" t="s">
        <v>960</v>
      </c>
      <c r="E524" s="5" t="s">
        <v>961</v>
      </c>
      <c r="F5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4" s="2" t="str">
        <f>IF(Table1[[#This Row],[Type]]="Major",Table1[[#This Row],[Major Group]],G523)</f>
        <v>29-0000</v>
      </c>
      <c r="H524" s="2" t="str">
        <f>IF(Table1[[#This Row],[Major Group]]&lt;&gt;"","n/a",IF(Table1[[#This Row],[Minor Group]]&lt;&gt;"",Table1[[#This Row],[Minor Group]],H523))</f>
        <v>29-1000</v>
      </c>
      <c r="I524" s="2" t="str">
        <f>IF(Table1[[#This Row],[Major Group]]&lt;&gt;"","n/a",IF(Table1[[#This Row],[Minor Group]]&lt;&gt;"","n/a",IF(Table1[[#This Row],[Broad Group]]&lt;&gt;"",Table1[[#This Row],[Broad Group]],I523)))</f>
        <v>29-1020</v>
      </c>
      <c r="J5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Occupation]],J523))))</f>
        <v>29-1024</v>
      </c>
      <c r="K524" s="2" t="str">
        <f>Table1[[#This Row],[Group Name]]</f>
        <v>Prosthodontists</v>
      </c>
    </row>
    <row r="525" spans="1:11" x14ac:dyDescent="0.25">
      <c r="D525" s="5" t="s">
        <v>962</v>
      </c>
      <c r="E525" s="5" t="s">
        <v>963</v>
      </c>
      <c r="F5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5" s="2" t="str">
        <f>IF(Table1[[#This Row],[Type]]="Major",Table1[[#This Row],[Major Group]],G524)</f>
        <v>29-0000</v>
      </c>
      <c r="H525" s="2" t="str">
        <f>IF(Table1[[#This Row],[Major Group]]&lt;&gt;"","n/a",IF(Table1[[#This Row],[Minor Group]]&lt;&gt;"",Table1[[#This Row],[Minor Group]],H524))</f>
        <v>29-1000</v>
      </c>
      <c r="I525" s="2" t="str">
        <f>IF(Table1[[#This Row],[Major Group]]&lt;&gt;"","n/a",IF(Table1[[#This Row],[Minor Group]]&lt;&gt;"","n/a",IF(Table1[[#This Row],[Broad Group]]&lt;&gt;"",Table1[[#This Row],[Broad Group]],I524)))</f>
        <v>29-1020</v>
      </c>
      <c r="J5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Occupation]],J524))))</f>
        <v>29-1029</v>
      </c>
      <c r="K525" s="2" t="str">
        <f>Table1[[#This Row],[Group Name]]</f>
        <v>Dentists, All Other Specialists</v>
      </c>
    </row>
    <row r="526" spans="1:11" x14ac:dyDescent="0.25">
      <c r="C526" s="1" t="s">
        <v>964</v>
      </c>
      <c r="E526" s="1" t="s">
        <v>965</v>
      </c>
      <c r="F5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26" s="2" t="str">
        <f>IF(Table1[[#This Row],[Type]]="Major",Table1[[#This Row],[Major Group]],G525)</f>
        <v>29-0000</v>
      </c>
      <c r="H526" s="2" t="str">
        <f>IF(Table1[[#This Row],[Major Group]]&lt;&gt;"","n/a",IF(Table1[[#This Row],[Minor Group]]&lt;&gt;"",Table1[[#This Row],[Minor Group]],H525))</f>
        <v>29-1000</v>
      </c>
      <c r="I526" s="2" t="str">
        <f>IF(Table1[[#This Row],[Major Group]]&lt;&gt;"","n/a",IF(Table1[[#This Row],[Minor Group]]&lt;&gt;"","n/a",IF(Table1[[#This Row],[Broad Group]]&lt;&gt;"",Table1[[#This Row],[Broad Group]],I525)))</f>
        <v>29-1030</v>
      </c>
      <c r="J5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Occupation]],J525))))</f>
        <v>n/a</v>
      </c>
      <c r="K526" s="2" t="str">
        <f>Table1[[#This Row],[Group Name]]</f>
        <v>Dietitians and Nutritionists</v>
      </c>
    </row>
    <row r="527" spans="1:11" x14ac:dyDescent="0.25">
      <c r="D527" s="5" t="s">
        <v>966</v>
      </c>
      <c r="E527" s="5" t="s">
        <v>965</v>
      </c>
      <c r="F5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7" s="2" t="str">
        <f>IF(Table1[[#This Row],[Type]]="Major",Table1[[#This Row],[Major Group]],G526)</f>
        <v>29-0000</v>
      </c>
      <c r="H527" s="2" t="str">
        <f>IF(Table1[[#This Row],[Major Group]]&lt;&gt;"","n/a",IF(Table1[[#This Row],[Minor Group]]&lt;&gt;"",Table1[[#This Row],[Minor Group]],H526))</f>
        <v>29-1000</v>
      </c>
      <c r="I527" s="2" t="str">
        <f>IF(Table1[[#This Row],[Major Group]]&lt;&gt;"","n/a",IF(Table1[[#This Row],[Minor Group]]&lt;&gt;"","n/a",IF(Table1[[#This Row],[Broad Group]]&lt;&gt;"",Table1[[#This Row],[Broad Group]],I526)))</f>
        <v>29-1030</v>
      </c>
      <c r="J5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Occupation]],J526))))</f>
        <v>29-1031</v>
      </c>
      <c r="K527" s="2" t="str">
        <f>Table1[[#This Row],[Group Name]]</f>
        <v>Dietitians and Nutritionists</v>
      </c>
    </row>
    <row r="528" spans="1:11" x14ac:dyDescent="0.25">
      <c r="C528" s="1" t="s">
        <v>967</v>
      </c>
      <c r="E528" s="1" t="s">
        <v>968</v>
      </c>
      <c r="F5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28" s="2" t="str">
        <f>IF(Table1[[#This Row],[Type]]="Major",Table1[[#This Row],[Major Group]],G527)</f>
        <v>29-0000</v>
      </c>
      <c r="H528" s="2" t="str">
        <f>IF(Table1[[#This Row],[Major Group]]&lt;&gt;"","n/a",IF(Table1[[#This Row],[Minor Group]]&lt;&gt;"",Table1[[#This Row],[Minor Group]],H527))</f>
        <v>29-1000</v>
      </c>
      <c r="I528" s="2" t="str">
        <f>IF(Table1[[#This Row],[Major Group]]&lt;&gt;"","n/a",IF(Table1[[#This Row],[Minor Group]]&lt;&gt;"","n/a",IF(Table1[[#This Row],[Broad Group]]&lt;&gt;"",Table1[[#This Row],[Broad Group]],I527)))</f>
        <v>29-1040</v>
      </c>
      <c r="J5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Occupation]],J527))))</f>
        <v>n/a</v>
      </c>
      <c r="K528" s="2" t="str">
        <f>Table1[[#This Row],[Group Name]]</f>
        <v>Optometrists</v>
      </c>
    </row>
    <row r="529" spans="3:11" x14ac:dyDescent="0.25">
      <c r="D529" s="5" t="s">
        <v>969</v>
      </c>
      <c r="E529" s="5" t="s">
        <v>968</v>
      </c>
      <c r="F5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29" s="2" t="str">
        <f>IF(Table1[[#This Row],[Type]]="Major",Table1[[#This Row],[Major Group]],G528)</f>
        <v>29-0000</v>
      </c>
      <c r="H529" s="2" t="str">
        <f>IF(Table1[[#This Row],[Major Group]]&lt;&gt;"","n/a",IF(Table1[[#This Row],[Minor Group]]&lt;&gt;"",Table1[[#This Row],[Minor Group]],H528))</f>
        <v>29-1000</v>
      </c>
      <c r="I529" s="2" t="str">
        <f>IF(Table1[[#This Row],[Major Group]]&lt;&gt;"","n/a",IF(Table1[[#This Row],[Minor Group]]&lt;&gt;"","n/a",IF(Table1[[#This Row],[Broad Group]]&lt;&gt;"",Table1[[#This Row],[Broad Group]],I528)))</f>
        <v>29-1040</v>
      </c>
      <c r="J5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Occupation]],J528))))</f>
        <v>29-1041</v>
      </c>
      <c r="K529" s="2" t="str">
        <f>Table1[[#This Row],[Group Name]]</f>
        <v>Optometrists</v>
      </c>
    </row>
    <row r="530" spans="3:11" x14ac:dyDescent="0.25">
      <c r="C530" s="1" t="s">
        <v>970</v>
      </c>
      <c r="E530" s="1" t="s">
        <v>971</v>
      </c>
      <c r="F5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30" s="2" t="str">
        <f>IF(Table1[[#This Row],[Type]]="Major",Table1[[#This Row],[Major Group]],G529)</f>
        <v>29-0000</v>
      </c>
      <c r="H530" s="2" t="str">
        <f>IF(Table1[[#This Row],[Major Group]]&lt;&gt;"","n/a",IF(Table1[[#This Row],[Minor Group]]&lt;&gt;"",Table1[[#This Row],[Minor Group]],H529))</f>
        <v>29-1000</v>
      </c>
      <c r="I530" s="2" t="str">
        <f>IF(Table1[[#This Row],[Major Group]]&lt;&gt;"","n/a",IF(Table1[[#This Row],[Minor Group]]&lt;&gt;"","n/a",IF(Table1[[#This Row],[Broad Group]]&lt;&gt;"",Table1[[#This Row],[Broad Group]],I529)))</f>
        <v>29-1050</v>
      </c>
      <c r="J5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Occupation]],J529))))</f>
        <v>n/a</v>
      </c>
      <c r="K530" s="2" t="str">
        <f>Table1[[#This Row],[Group Name]]</f>
        <v>Pharmacists</v>
      </c>
    </row>
    <row r="531" spans="3:11" x14ac:dyDescent="0.25">
      <c r="D531" s="5" t="s">
        <v>972</v>
      </c>
      <c r="E531" s="5" t="s">
        <v>971</v>
      </c>
      <c r="F5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31" s="2" t="str">
        <f>IF(Table1[[#This Row],[Type]]="Major",Table1[[#This Row],[Major Group]],G530)</f>
        <v>29-0000</v>
      </c>
      <c r="H531" s="2" t="str">
        <f>IF(Table1[[#This Row],[Major Group]]&lt;&gt;"","n/a",IF(Table1[[#This Row],[Minor Group]]&lt;&gt;"",Table1[[#This Row],[Minor Group]],H530))</f>
        <v>29-1000</v>
      </c>
      <c r="I531" s="2" t="str">
        <f>IF(Table1[[#This Row],[Major Group]]&lt;&gt;"","n/a",IF(Table1[[#This Row],[Minor Group]]&lt;&gt;"","n/a",IF(Table1[[#This Row],[Broad Group]]&lt;&gt;"",Table1[[#This Row],[Broad Group]],I530)))</f>
        <v>29-1050</v>
      </c>
      <c r="J5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Occupation]],J530))))</f>
        <v>29-1051</v>
      </c>
      <c r="K531" s="2" t="str">
        <f>Table1[[#This Row],[Group Name]]</f>
        <v>Pharmacists</v>
      </c>
    </row>
    <row r="532" spans="3:11" x14ac:dyDescent="0.25">
      <c r="C532" s="1" t="s">
        <v>973</v>
      </c>
      <c r="E532" s="1" t="s">
        <v>974</v>
      </c>
      <c r="F5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32" s="2" t="str">
        <f>IF(Table1[[#This Row],[Type]]="Major",Table1[[#This Row],[Major Group]],G531)</f>
        <v>29-0000</v>
      </c>
      <c r="H532" s="2" t="str">
        <f>IF(Table1[[#This Row],[Major Group]]&lt;&gt;"","n/a",IF(Table1[[#This Row],[Minor Group]]&lt;&gt;"",Table1[[#This Row],[Minor Group]],H531))</f>
        <v>29-1000</v>
      </c>
      <c r="I532" s="2" t="str">
        <f>IF(Table1[[#This Row],[Major Group]]&lt;&gt;"","n/a",IF(Table1[[#This Row],[Minor Group]]&lt;&gt;"","n/a",IF(Table1[[#This Row],[Broad Group]]&lt;&gt;"",Table1[[#This Row],[Broad Group]],I531)))</f>
        <v>29-1070</v>
      </c>
      <c r="J5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Occupation]],J531))))</f>
        <v>n/a</v>
      </c>
      <c r="K532" s="2" t="str">
        <f>Table1[[#This Row],[Group Name]]</f>
        <v>Physician Assistants</v>
      </c>
    </row>
    <row r="533" spans="3:11" x14ac:dyDescent="0.25">
      <c r="D533" s="5" t="s">
        <v>975</v>
      </c>
      <c r="E533" s="5" t="s">
        <v>974</v>
      </c>
      <c r="F5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33" s="2" t="str">
        <f>IF(Table1[[#This Row],[Type]]="Major",Table1[[#This Row],[Major Group]],G532)</f>
        <v>29-0000</v>
      </c>
      <c r="H533" s="2" t="str">
        <f>IF(Table1[[#This Row],[Major Group]]&lt;&gt;"","n/a",IF(Table1[[#This Row],[Minor Group]]&lt;&gt;"",Table1[[#This Row],[Minor Group]],H532))</f>
        <v>29-1000</v>
      </c>
      <c r="I533" s="2" t="str">
        <f>IF(Table1[[#This Row],[Major Group]]&lt;&gt;"","n/a",IF(Table1[[#This Row],[Minor Group]]&lt;&gt;"","n/a",IF(Table1[[#This Row],[Broad Group]]&lt;&gt;"",Table1[[#This Row],[Broad Group]],I532)))</f>
        <v>29-1070</v>
      </c>
      <c r="J5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Occupation]],J532))))</f>
        <v>29-1071</v>
      </c>
      <c r="K533" s="2" t="str">
        <f>Table1[[#This Row],[Group Name]]</f>
        <v>Physician Assistants</v>
      </c>
    </row>
    <row r="534" spans="3:11" x14ac:dyDescent="0.25">
      <c r="C534" s="1" t="s">
        <v>976</v>
      </c>
      <c r="E534" s="1" t="s">
        <v>977</v>
      </c>
      <c r="F5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34" s="2" t="str">
        <f>IF(Table1[[#This Row],[Type]]="Major",Table1[[#This Row],[Major Group]],G533)</f>
        <v>29-0000</v>
      </c>
      <c r="H534" s="2" t="str">
        <f>IF(Table1[[#This Row],[Major Group]]&lt;&gt;"","n/a",IF(Table1[[#This Row],[Minor Group]]&lt;&gt;"",Table1[[#This Row],[Minor Group]],H533))</f>
        <v>29-1000</v>
      </c>
      <c r="I534" s="2" t="str">
        <f>IF(Table1[[#This Row],[Major Group]]&lt;&gt;"","n/a",IF(Table1[[#This Row],[Minor Group]]&lt;&gt;"","n/a",IF(Table1[[#This Row],[Broad Group]]&lt;&gt;"",Table1[[#This Row],[Broad Group]],I533)))</f>
        <v>29-1080</v>
      </c>
      <c r="J5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Occupation]],J533))))</f>
        <v>n/a</v>
      </c>
      <c r="K534" s="2" t="str">
        <f>Table1[[#This Row],[Group Name]]</f>
        <v>Podiatrists</v>
      </c>
    </row>
    <row r="535" spans="3:11" x14ac:dyDescent="0.25">
      <c r="D535" s="5" t="s">
        <v>978</v>
      </c>
      <c r="E535" s="5" t="s">
        <v>977</v>
      </c>
      <c r="F5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35" s="2" t="str">
        <f>IF(Table1[[#This Row],[Type]]="Major",Table1[[#This Row],[Major Group]],G534)</f>
        <v>29-0000</v>
      </c>
      <c r="H535" s="2" t="str">
        <f>IF(Table1[[#This Row],[Major Group]]&lt;&gt;"","n/a",IF(Table1[[#This Row],[Minor Group]]&lt;&gt;"",Table1[[#This Row],[Minor Group]],H534))</f>
        <v>29-1000</v>
      </c>
      <c r="I535" s="2" t="str">
        <f>IF(Table1[[#This Row],[Major Group]]&lt;&gt;"","n/a",IF(Table1[[#This Row],[Minor Group]]&lt;&gt;"","n/a",IF(Table1[[#This Row],[Broad Group]]&lt;&gt;"",Table1[[#This Row],[Broad Group]],I534)))</f>
        <v>29-1080</v>
      </c>
      <c r="J5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Occupation]],J534))))</f>
        <v>29-1081</v>
      </c>
      <c r="K535" s="2" t="str">
        <f>Table1[[#This Row],[Group Name]]</f>
        <v>Podiatrists</v>
      </c>
    </row>
    <row r="536" spans="3:11" x14ac:dyDescent="0.25">
      <c r="C536" s="1" t="s">
        <v>979</v>
      </c>
      <c r="E536" s="1" t="s">
        <v>980</v>
      </c>
      <c r="F5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36" s="2" t="str">
        <f>IF(Table1[[#This Row],[Type]]="Major",Table1[[#This Row],[Major Group]],G535)</f>
        <v>29-0000</v>
      </c>
      <c r="H536" s="2" t="str">
        <f>IF(Table1[[#This Row],[Major Group]]&lt;&gt;"","n/a",IF(Table1[[#This Row],[Minor Group]]&lt;&gt;"",Table1[[#This Row],[Minor Group]],H535))</f>
        <v>29-1000</v>
      </c>
      <c r="I536" s="2" t="str">
        <f>IF(Table1[[#This Row],[Major Group]]&lt;&gt;"","n/a",IF(Table1[[#This Row],[Minor Group]]&lt;&gt;"","n/a",IF(Table1[[#This Row],[Broad Group]]&lt;&gt;"",Table1[[#This Row],[Broad Group]],I535)))</f>
        <v>29-1120</v>
      </c>
      <c r="J5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Occupation]],J535))))</f>
        <v>n/a</v>
      </c>
      <c r="K536" s="2" t="str">
        <f>Table1[[#This Row],[Group Name]]</f>
        <v>Therapists</v>
      </c>
    </row>
    <row r="537" spans="3:11" x14ac:dyDescent="0.25">
      <c r="D537" s="5" t="s">
        <v>981</v>
      </c>
      <c r="E537" s="5" t="s">
        <v>982</v>
      </c>
      <c r="F5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37" s="2" t="str">
        <f>IF(Table1[[#This Row],[Type]]="Major",Table1[[#This Row],[Major Group]],G536)</f>
        <v>29-0000</v>
      </c>
      <c r="H537" s="2" t="str">
        <f>IF(Table1[[#This Row],[Major Group]]&lt;&gt;"","n/a",IF(Table1[[#This Row],[Minor Group]]&lt;&gt;"",Table1[[#This Row],[Minor Group]],H536))</f>
        <v>29-1000</v>
      </c>
      <c r="I537" s="2" t="str">
        <f>IF(Table1[[#This Row],[Major Group]]&lt;&gt;"","n/a",IF(Table1[[#This Row],[Minor Group]]&lt;&gt;"","n/a",IF(Table1[[#This Row],[Broad Group]]&lt;&gt;"",Table1[[#This Row],[Broad Group]],I536)))</f>
        <v>29-1120</v>
      </c>
      <c r="J5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Occupation]],J536))))</f>
        <v>29-1122</v>
      </c>
      <c r="K537" s="2" t="str">
        <f>Table1[[#This Row],[Group Name]]</f>
        <v>Occupational Therapists</v>
      </c>
    </row>
    <row r="538" spans="3:11" x14ac:dyDescent="0.25">
      <c r="D538" s="5" t="s">
        <v>983</v>
      </c>
      <c r="E538" s="5" t="s">
        <v>984</v>
      </c>
      <c r="F5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38" s="2" t="str">
        <f>IF(Table1[[#This Row],[Type]]="Major",Table1[[#This Row],[Major Group]],G537)</f>
        <v>29-0000</v>
      </c>
      <c r="H538" s="2" t="str">
        <f>IF(Table1[[#This Row],[Major Group]]&lt;&gt;"","n/a",IF(Table1[[#This Row],[Minor Group]]&lt;&gt;"",Table1[[#This Row],[Minor Group]],H537))</f>
        <v>29-1000</v>
      </c>
      <c r="I538" s="2" t="str">
        <f>IF(Table1[[#This Row],[Major Group]]&lt;&gt;"","n/a",IF(Table1[[#This Row],[Minor Group]]&lt;&gt;"","n/a",IF(Table1[[#This Row],[Broad Group]]&lt;&gt;"",Table1[[#This Row],[Broad Group]],I537)))</f>
        <v>29-1120</v>
      </c>
      <c r="J5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Occupation]],J537))))</f>
        <v>29-1123</v>
      </c>
      <c r="K538" s="2" t="str">
        <f>Table1[[#This Row],[Group Name]]</f>
        <v>Physical Therapists</v>
      </c>
    </row>
    <row r="539" spans="3:11" x14ac:dyDescent="0.25">
      <c r="D539" s="5" t="s">
        <v>985</v>
      </c>
      <c r="E539" s="5" t="s">
        <v>986</v>
      </c>
      <c r="F5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39" s="2" t="str">
        <f>IF(Table1[[#This Row],[Type]]="Major",Table1[[#This Row],[Major Group]],G538)</f>
        <v>29-0000</v>
      </c>
      <c r="H539" s="2" t="str">
        <f>IF(Table1[[#This Row],[Major Group]]&lt;&gt;"","n/a",IF(Table1[[#This Row],[Minor Group]]&lt;&gt;"",Table1[[#This Row],[Minor Group]],H538))</f>
        <v>29-1000</v>
      </c>
      <c r="I539" s="2" t="str">
        <f>IF(Table1[[#This Row],[Major Group]]&lt;&gt;"","n/a",IF(Table1[[#This Row],[Minor Group]]&lt;&gt;"","n/a",IF(Table1[[#This Row],[Broad Group]]&lt;&gt;"",Table1[[#This Row],[Broad Group]],I538)))</f>
        <v>29-1120</v>
      </c>
      <c r="J5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Occupation]],J538))))</f>
        <v>29-1124</v>
      </c>
      <c r="K539" s="2" t="str">
        <f>Table1[[#This Row],[Group Name]]</f>
        <v>Radiation Therapists</v>
      </c>
    </row>
    <row r="540" spans="3:11" x14ac:dyDescent="0.25">
      <c r="D540" s="5" t="s">
        <v>987</v>
      </c>
      <c r="E540" s="5" t="s">
        <v>988</v>
      </c>
      <c r="F5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0" s="2" t="str">
        <f>IF(Table1[[#This Row],[Type]]="Major",Table1[[#This Row],[Major Group]],G539)</f>
        <v>29-0000</v>
      </c>
      <c r="H540" s="2" t="str">
        <f>IF(Table1[[#This Row],[Major Group]]&lt;&gt;"","n/a",IF(Table1[[#This Row],[Minor Group]]&lt;&gt;"",Table1[[#This Row],[Minor Group]],H539))</f>
        <v>29-1000</v>
      </c>
      <c r="I540" s="2" t="str">
        <f>IF(Table1[[#This Row],[Major Group]]&lt;&gt;"","n/a",IF(Table1[[#This Row],[Minor Group]]&lt;&gt;"","n/a",IF(Table1[[#This Row],[Broad Group]]&lt;&gt;"",Table1[[#This Row],[Broad Group]],I539)))</f>
        <v>29-1120</v>
      </c>
      <c r="J5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Occupation]],J539))))</f>
        <v>29-1125</v>
      </c>
      <c r="K540" s="2" t="str">
        <f>Table1[[#This Row],[Group Name]]</f>
        <v>Recreational Therapists</v>
      </c>
    </row>
    <row r="541" spans="3:11" x14ac:dyDescent="0.25">
      <c r="D541" s="5" t="s">
        <v>989</v>
      </c>
      <c r="E541" s="5" t="s">
        <v>990</v>
      </c>
      <c r="F5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1" s="2" t="str">
        <f>IF(Table1[[#This Row],[Type]]="Major",Table1[[#This Row],[Major Group]],G540)</f>
        <v>29-0000</v>
      </c>
      <c r="H541" s="2" t="str">
        <f>IF(Table1[[#This Row],[Major Group]]&lt;&gt;"","n/a",IF(Table1[[#This Row],[Minor Group]]&lt;&gt;"",Table1[[#This Row],[Minor Group]],H540))</f>
        <v>29-1000</v>
      </c>
      <c r="I541" s="2" t="str">
        <f>IF(Table1[[#This Row],[Major Group]]&lt;&gt;"","n/a",IF(Table1[[#This Row],[Minor Group]]&lt;&gt;"","n/a",IF(Table1[[#This Row],[Broad Group]]&lt;&gt;"",Table1[[#This Row],[Broad Group]],I540)))</f>
        <v>29-1120</v>
      </c>
      <c r="J5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Occupation]],J540))))</f>
        <v>29-1126</v>
      </c>
      <c r="K541" s="2" t="str">
        <f>Table1[[#This Row],[Group Name]]</f>
        <v>Respiratory Therapists</v>
      </c>
    </row>
    <row r="542" spans="3:11" x14ac:dyDescent="0.25">
      <c r="D542" s="5" t="s">
        <v>991</v>
      </c>
      <c r="E542" s="5" t="s">
        <v>992</v>
      </c>
      <c r="F5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2" s="2" t="str">
        <f>IF(Table1[[#This Row],[Type]]="Major",Table1[[#This Row],[Major Group]],G541)</f>
        <v>29-0000</v>
      </c>
      <c r="H542" s="2" t="str">
        <f>IF(Table1[[#This Row],[Major Group]]&lt;&gt;"","n/a",IF(Table1[[#This Row],[Minor Group]]&lt;&gt;"",Table1[[#This Row],[Minor Group]],H541))</f>
        <v>29-1000</v>
      </c>
      <c r="I542" s="2" t="str">
        <f>IF(Table1[[#This Row],[Major Group]]&lt;&gt;"","n/a",IF(Table1[[#This Row],[Minor Group]]&lt;&gt;"","n/a",IF(Table1[[#This Row],[Broad Group]]&lt;&gt;"",Table1[[#This Row],[Broad Group]],I541)))</f>
        <v>29-1120</v>
      </c>
      <c r="J5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Occupation]],J541))))</f>
        <v>29-1127</v>
      </c>
      <c r="K542" s="2" t="str">
        <f>Table1[[#This Row],[Group Name]]</f>
        <v>Speech-Language Pathologists</v>
      </c>
    </row>
    <row r="543" spans="3:11" x14ac:dyDescent="0.25">
      <c r="D543" s="5" t="s">
        <v>993</v>
      </c>
      <c r="E543" s="5" t="s">
        <v>994</v>
      </c>
      <c r="F5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3" s="2" t="str">
        <f>IF(Table1[[#This Row],[Type]]="Major",Table1[[#This Row],[Major Group]],G542)</f>
        <v>29-0000</v>
      </c>
      <c r="H543" s="2" t="str">
        <f>IF(Table1[[#This Row],[Major Group]]&lt;&gt;"","n/a",IF(Table1[[#This Row],[Minor Group]]&lt;&gt;"",Table1[[#This Row],[Minor Group]],H542))</f>
        <v>29-1000</v>
      </c>
      <c r="I543" s="2" t="str">
        <f>IF(Table1[[#This Row],[Major Group]]&lt;&gt;"","n/a",IF(Table1[[#This Row],[Minor Group]]&lt;&gt;"","n/a",IF(Table1[[#This Row],[Broad Group]]&lt;&gt;"",Table1[[#This Row],[Broad Group]],I542)))</f>
        <v>29-1120</v>
      </c>
      <c r="J5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Occupation]],J542))))</f>
        <v>29-1128</v>
      </c>
      <c r="K543" s="2" t="str">
        <f>Table1[[#This Row],[Group Name]]</f>
        <v>Exercise Physiologists</v>
      </c>
    </row>
    <row r="544" spans="3:11" x14ac:dyDescent="0.25">
      <c r="D544" s="5" t="s">
        <v>995</v>
      </c>
      <c r="E544" s="5" t="s">
        <v>996</v>
      </c>
      <c r="F5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4" s="2" t="str">
        <f>IF(Table1[[#This Row],[Type]]="Major",Table1[[#This Row],[Major Group]],G543)</f>
        <v>29-0000</v>
      </c>
      <c r="H544" s="2" t="str">
        <f>IF(Table1[[#This Row],[Major Group]]&lt;&gt;"","n/a",IF(Table1[[#This Row],[Minor Group]]&lt;&gt;"",Table1[[#This Row],[Minor Group]],H543))</f>
        <v>29-1000</v>
      </c>
      <c r="I544" s="2" t="str">
        <f>IF(Table1[[#This Row],[Major Group]]&lt;&gt;"","n/a",IF(Table1[[#This Row],[Minor Group]]&lt;&gt;"","n/a",IF(Table1[[#This Row],[Broad Group]]&lt;&gt;"",Table1[[#This Row],[Broad Group]],I543)))</f>
        <v>29-1120</v>
      </c>
      <c r="J5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Occupation]],J543))))</f>
        <v>29-1129</v>
      </c>
      <c r="K544" s="2" t="str">
        <f>Table1[[#This Row],[Group Name]]</f>
        <v>Therapists, All Other</v>
      </c>
    </row>
    <row r="545" spans="3:11" x14ac:dyDescent="0.25">
      <c r="C545" s="1" t="s">
        <v>997</v>
      </c>
      <c r="E545" s="1" t="s">
        <v>998</v>
      </c>
      <c r="F5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45" s="2" t="str">
        <f>IF(Table1[[#This Row],[Type]]="Major",Table1[[#This Row],[Major Group]],G544)</f>
        <v>29-0000</v>
      </c>
      <c r="H545" s="2" t="str">
        <f>IF(Table1[[#This Row],[Major Group]]&lt;&gt;"","n/a",IF(Table1[[#This Row],[Minor Group]]&lt;&gt;"",Table1[[#This Row],[Minor Group]],H544))</f>
        <v>29-1000</v>
      </c>
      <c r="I545" s="2" t="str">
        <f>IF(Table1[[#This Row],[Major Group]]&lt;&gt;"","n/a",IF(Table1[[#This Row],[Minor Group]]&lt;&gt;"","n/a",IF(Table1[[#This Row],[Broad Group]]&lt;&gt;"",Table1[[#This Row],[Broad Group]],I544)))</f>
        <v>29-1130</v>
      </c>
      <c r="J5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Occupation]],J544))))</f>
        <v>n/a</v>
      </c>
      <c r="K545" s="2" t="str">
        <f>Table1[[#This Row],[Group Name]]</f>
        <v>Veterinarians</v>
      </c>
    </row>
    <row r="546" spans="3:11" x14ac:dyDescent="0.25">
      <c r="D546" s="5" t="s">
        <v>999</v>
      </c>
      <c r="E546" s="5" t="s">
        <v>998</v>
      </c>
      <c r="F5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6" s="2" t="str">
        <f>IF(Table1[[#This Row],[Type]]="Major",Table1[[#This Row],[Major Group]],G545)</f>
        <v>29-0000</v>
      </c>
      <c r="H546" s="2" t="str">
        <f>IF(Table1[[#This Row],[Major Group]]&lt;&gt;"","n/a",IF(Table1[[#This Row],[Minor Group]]&lt;&gt;"",Table1[[#This Row],[Minor Group]],H545))</f>
        <v>29-1000</v>
      </c>
      <c r="I546" s="2" t="str">
        <f>IF(Table1[[#This Row],[Major Group]]&lt;&gt;"","n/a",IF(Table1[[#This Row],[Minor Group]]&lt;&gt;"","n/a",IF(Table1[[#This Row],[Broad Group]]&lt;&gt;"",Table1[[#This Row],[Broad Group]],I545)))</f>
        <v>29-1130</v>
      </c>
      <c r="J5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Occupation]],J545))))</f>
        <v>29-1131</v>
      </c>
      <c r="K546" s="2" t="str">
        <f>Table1[[#This Row],[Group Name]]</f>
        <v>Veterinarians</v>
      </c>
    </row>
    <row r="547" spans="3:11" x14ac:dyDescent="0.25">
      <c r="C547" s="1" t="s">
        <v>1000</v>
      </c>
      <c r="E547" s="1" t="s">
        <v>1001</v>
      </c>
      <c r="F5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47" s="2" t="str">
        <f>IF(Table1[[#This Row],[Type]]="Major",Table1[[#This Row],[Major Group]],G546)</f>
        <v>29-0000</v>
      </c>
      <c r="H547" s="2" t="str">
        <f>IF(Table1[[#This Row],[Major Group]]&lt;&gt;"","n/a",IF(Table1[[#This Row],[Minor Group]]&lt;&gt;"",Table1[[#This Row],[Minor Group]],H546))</f>
        <v>29-1000</v>
      </c>
      <c r="I547" s="2" t="str">
        <f>IF(Table1[[#This Row],[Major Group]]&lt;&gt;"","n/a",IF(Table1[[#This Row],[Minor Group]]&lt;&gt;"","n/a",IF(Table1[[#This Row],[Broad Group]]&lt;&gt;"",Table1[[#This Row],[Broad Group]],I546)))</f>
        <v>29-1140</v>
      </c>
      <c r="J5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Occupation]],J546))))</f>
        <v>n/a</v>
      </c>
      <c r="K547" s="2" t="str">
        <f>Table1[[#This Row],[Group Name]]</f>
        <v>Registered Nurses</v>
      </c>
    </row>
    <row r="548" spans="3:11" x14ac:dyDescent="0.25">
      <c r="D548" s="5" t="s">
        <v>1002</v>
      </c>
      <c r="E548" s="5" t="s">
        <v>1001</v>
      </c>
      <c r="F5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48" s="2" t="str">
        <f>IF(Table1[[#This Row],[Type]]="Major",Table1[[#This Row],[Major Group]],G547)</f>
        <v>29-0000</v>
      </c>
      <c r="H548" s="2" t="str">
        <f>IF(Table1[[#This Row],[Major Group]]&lt;&gt;"","n/a",IF(Table1[[#This Row],[Minor Group]]&lt;&gt;"",Table1[[#This Row],[Minor Group]],H547))</f>
        <v>29-1000</v>
      </c>
      <c r="I548" s="2" t="str">
        <f>IF(Table1[[#This Row],[Major Group]]&lt;&gt;"","n/a",IF(Table1[[#This Row],[Minor Group]]&lt;&gt;"","n/a",IF(Table1[[#This Row],[Broad Group]]&lt;&gt;"",Table1[[#This Row],[Broad Group]],I547)))</f>
        <v>29-1140</v>
      </c>
      <c r="J5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Occupation]],J547))))</f>
        <v>29-1141</v>
      </c>
      <c r="K548" s="2" t="str">
        <f>Table1[[#This Row],[Group Name]]</f>
        <v>Registered Nurses</v>
      </c>
    </row>
    <row r="549" spans="3:11" x14ac:dyDescent="0.25">
      <c r="C549" s="1" t="s">
        <v>1003</v>
      </c>
      <c r="E549" s="1" t="s">
        <v>1004</v>
      </c>
      <c r="F5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49" s="2" t="str">
        <f>IF(Table1[[#This Row],[Type]]="Major",Table1[[#This Row],[Major Group]],G548)</f>
        <v>29-0000</v>
      </c>
      <c r="H549" s="2" t="str">
        <f>IF(Table1[[#This Row],[Major Group]]&lt;&gt;"","n/a",IF(Table1[[#This Row],[Minor Group]]&lt;&gt;"",Table1[[#This Row],[Minor Group]],H548))</f>
        <v>29-1000</v>
      </c>
      <c r="I549" s="2" t="str">
        <f>IF(Table1[[#This Row],[Major Group]]&lt;&gt;"","n/a",IF(Table1[[#This Row],[Minor Group]]&lt;&gt;"","n/a",IF(Table1[[#This Row],[Broad Group]]&lt;&gt;"",Table1[[#This Row],[Broad Group]],I548)))</f>
        <v>29-1150</v>
      </c>
      <c r="J5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Occupation]],J548))))</f>
        <v>n/a</v>
      </c>
      <c r="K549" s="2" t="str">
        <f>Table1[[#This Row],[Group Name]]</f>
        <v>Nurse Anesthetists</v>
      </c>
    </row>
    <row r="550" spans="3:11" x14ac:dyDescent="0.25">
      <c r="D550" s="5" t="s">
        <v>1005</v>
      </c>
      <c r="E550" s="5" t="s">
        <v>1004</v>
      </c>
      <c r="F5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50" s="2" t="str">
        <f>IF(Table1[[#This Row],[Type]]="Major",Table1[[#This Row],[Major Group]],G549)</f>
        <v>29-0000</v>
      </c>
      <c r="H550" s="2" t="str">
        <f>IF(Table1[[#This Row],[Major Group]]&lt;&gt;"","n/a",IF(Table1[[#This Row],[Minor Group]]&lt;&gt;"",Table1[[#This Row],[Minor Group]],H549))</f>
        <v>29-1000</v>
      </c>
      <c r="I550" s="2" t="str">
        <f>IF(Table1[[#This Row],[Major Group]]&lt;&gt;"","n/a",IF(Table1[[#This Row],[Minor Group]]&lt;&gt;"","n/a",IF(Table1[[#This Row],[Broad Group]]&lt;&gt;"",Table1[[#This Row],[Broad Group]],I549)))</f>
        <v>29-1150</v>
      </c>
      <c r="J5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Occupation]],J549))))</f>
        <v>29-1151</v>
      </c>
      <c r="K550" s="2" t="str">
        <f>Table1[[#This Row],[Group Name]]</f>
        <v>Nurse Anesthetists</v>
      </c>
    </row>
    <row r="551" spans="3:11" x14ac:dyDescent="0.25">
      <c r="C551" s="1" t="s">
        <v>1006</v>
      </c>
      <c r="E551" s="1" t="s">
        <v>1007</v>
      </c>
      <c r="F5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51" s="2" t="str">
        <f>IF(Table1[[#This Row],[Type]]="Major",Table1[[#This Row],[Major Group]],G550)</f>
        <v>29-0000</v>
      </c>
      <c r="H551" s="2" t="str">
        <f>IF(Table1[[#This Row],[Major Group]]&lt;&gt;"","n/a",IF(Table1[[#This Row],[Minor Group]]&lt;&gt;"",Table1[[#This Row],[Minor Group]],H550))</f>
        <v>29-1000</v>
      </c>
      <c r="I551" s="2" t="str">
        <f>IF(Table1[[#This Row],[Major Group]]&lt;&gt;"","n/a",IF(Table1[[#This Row],[Minor Group]]&lt;&gt;"","n/a",IF(Table1[[#This Row],[Broad Group]]&lt;&gt;"",Table1[[#This Row],[Broad Group]],I550)))</f>
        <v>29-1160</v>
      </c>
      <c r="J5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Occupation]],J550))))</f>
        <v>n/a</v>
      </c>
      <c r="K551" s="2" t="str">
        <f>Table1[[#This Row],[Group Name]]</f>
        <v>Nurse Midwives</v>
      </c>
    </row>
    <row r="552" spans="3:11" x14ac:dyDescent="0.25">
      <c r="D552" s="5" t="s">
        <v>1008</v>
      </c>
      <c r="E552" s="5" t="s">
        <v>1007</v>
      </c>
      <c r="F5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52" s="2" t="str">
        <f>IF(Table1[[#This Row],[Type]]="Major",Table1[[#This Row],[Major Group]],G551)</f>
        <v>29-0000</v>
      </c>
      <c r="H552" s="2" t="str">
        <f>IF(Table1[[#This Row],[Major Group]]&lt;&gt;"","n/a",IF(Table1[[#This Row],[Minor Group]]&lt;&gt;"",Table1[[#This Row],[Minor Group]],H551))</f>
        <v>29-1000</v>
      </c>
      <c r="I552" s="2" t="str">
        <f>IF(Table1[[#This Row],[Major Group]]&lt;&gt;"","n/a",IF(Table1[[#This Row],[Minor Group]]&lt;&gt;"","n/a",IF(Table1[[#This Row],[Broad Group]]&lt;&gt;"",Table1[[#This Row],[Broad Group]],I551)))</f>
        <v>29-1160</v>
      </c>
      <c r="J5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Occupation]],J551))))</f>
        <v>29-1161</v>
      </c>
      <c r="K552" s="2" t="str">
        <f>Table1[[#This Row],[Group Name]]</f>
        <v>Nurse Midwives</v>
      </c>
    </row>
    <row r="553" spans="3:11" x14ac:dyDescent="0.25">
      <c r="C553" s="1" t="s">
        <v>1009</v>
      </c>
      <c r="E553" s="1" t="s">
        <v>1010</v>
      </c>
      <c r="F5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53" s="2" t="str">
        <f>IF(Table1[[#This Row],[Type]]="Major",Table1[[#This Row],[Major Group]],G552)</f>
        <v>29-0000</v>
      </c>
      <c r="H553" s="2" t="str">
        <f>IF(Table1[[#This Row],[Major Group]]&lt;&gt;"","n/a",IF(Table1[[#This Row],[Minor Group]]&lt;&gt;"",Table1[[#This Row],[Minor Group]],H552))</f>
        <v>29-1000</v>
      </c>
      <c r="I553" s="2" t="str">
        <f>IF(Table1[[#This Row],[Major Group]]&lt;&gt;"","n/a",IF(Table1[[#This Row],[Minor Group]]&lt;&gt;"","n/a",IF(Table1[[#This Row],[Broad Group]]&lt;&gt;"",Table1[[#This Row],[Broad Group]],I552)))</f>
        <v>29-1170</v>
      </c>
      <c r="J5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Occupation]],J552))))</f>
        <v>n/a</v>
      </c>
      <c r="K553" s="2" t="str">
        <f>Table1[[#This Row],[Group Name]]</f>
        <v>Nurse Practitioners</v>
      </c>
    </row>
    <row r="554" spans="3:11" x14ac:dyDescent="0.25">
      <c r="D554" s="5" t="s">
        <v>1011</v>
      </c>
      <c r="E554" s="5" t="s">
        <v>1010</v>
      </c>
      <c r="F5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54" s="2" t="str">
        <f>IF(Table1[[#This Row],[Type]]="Major",Table1[[#This Row],[Major Group]],G553)</f>
        <v>29-0000</v>
      </c>
      <c r="H554" s="2" t="str">
        <f>IF(Table1[[#This Row],[Major Group]]&lt;&gt;"","n/a",IF(Table1[[#This Row],[Minor Group]]&lt;&gt;"",Table1[[#This Row],[Minor Group]],H553))</f>
        <v>29-1000</v>
      </c>
      <c r="I554" s="2" t="str">
        <f>IF(Table1[[#This Row],[Major Group]]&lt;&gt;"","n/a",IF(Table1[[#This Row],[Minor Group]]&lt;&gt;"","n/a",IF(Table1[[#This Row],[Broad Group]]&lt;&gt;"",Table1[[#This Row],[Broad Group]],I553)))</f>
        <v>29-1170</v>
      </c>
      <c r="J5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Occupation]],J553))))</f>
        <v>29-1171</v>
      </c>
      <c r="K554" s="2" t="str">
        <f>Table1[[#This Row],[Group Name]]</f>
        <v>Nurse Practitioners</v>
      </c>
    </row>
    <row r="555" spans="3:11" x14ac:dyDescent="0.25">
      <c r="C555" s="1" t="s">
        <v>1012</v>
      </c>
      <c r="E555" s="1" t="s">
        <v>1013</v>
      </c>
      <c r="F5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55" s="2" t="str">
        <f>IF(Table1[[#This Row],[Type]]="Major",Table1[[#This Row],[Major Group]],G554)</f>
        <v>29-0000</v>
      </c>
      <c r="H555" s="2" t="str">
        <f>IF(Table1[[#This Row],[Major Group]]&lt;&gt;"","n/a",IF(Table1[[#This Row],[Minor Group]]&lt;&gt;"",Table1[[#This Row],[Minor Group]],H554))</f>
        <v>29-1000</v>
      </c>
      <c r="I555" s="2" t="str">
        <f>IF(Table1[[#This Row],[Major Group]]&lt;&gt;"","n/a",IF(Table1[[#This Row],[Minor Group]]&lt;&gt;"","n/a",IF(Table1[[#This Row],[Broad Group]]&lt;&gt;"",Table1[[#This Row],[Broad Group]],I554)))</f>
        <v>29-1180</v>
      </c>
      <c r="J5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Occupation]],J554))))</f>
        <v>n/a</v>
      </c>
      <c r="K555" s="2" t="str">
        <f>Table1[[#This Row],[Group Name]]</f>
        <v>Audiologists</v>
      </c>
    </row>
    <row r="556" spans="3:11" x14ac:dyDescent="0.25">
      <c r="D556" s="5" t="s">
        <v>1014</v>
      </c>
      <c r="E556" s="5" t="s">
        <v>1013</v>
      </c>
      <c r="F5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56" s="2" t="str">
        <f>IF(Table1[[#This Row],[Type]]="Major",Table1[[#This Row],[Major Group]],G555)</f>
        <v>29-0000</v>
      </c>
      <c r="H556" s="2" t="str">
        <f>IF(Table1[[#This Row],[Major Group]]&lt;&gt;"","n/a",IF(Table1[[#This Row],[Minor Group]]&lt;&gt;"",Table1[[#This Row],[Minor Group]],H555))</f>
        <v>29-1000</v>
      </c>
      <c r="I556" s="2" t="str">
        <f>IF(Table1[[#This Row],[Major Group]]&lt;&gt;"","n/a",IF(Table1[[#This Row],[Minor Group]]&lt;&gt;"","n/a",IF(Table1[[#This Row],[Broad Group]]&lt;&gt;"",Table1[[#This Row],[Broad Group]],I555)))</f>
        <v>29-1180</v>
      </c>
      <c r="J5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Occupation]],J555))))</f>
        <v>29-1181</v>
      </c>
      <c r="K556" s="2" t="str">
        <f>Table1[[#This Row],[Group Name]]</f>
        <v>Audiologists</v>
      </c>
    </row>
    <row r="557" spans="3:11" x14ac:dyDescent="0.25">
      <c r="C557" s="1" t="s">
        <v>1015</v>
      </c>
      <c r="E557" s="1" t="s">
        <v>1016</v>
      </c>
      <c r="F5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57" s="2" t="str">
        <f>IF(Table1[[#This Row],[Type]]="Major",Table1[[#This Row],[Major Group]],G556)</f>
        <v>29-0000</v>
      </c>
      <c r="H557" s="2" t="str">
        <f>IF(Table1[[#This Row],[Major Group]]&lt;&gt;"","n/a",IF(Table1[[#This Row],[Minor Group]]&lt;&gt;"",Table1[[#This Row],[Minor Group]],H556))</f>
        <v>29-1000</v>
      </c>
      <c r="I557" s="2" t="str">
        <f>IF(Table1[[#This Row],[Major Group]]&lt;&gt;"","n/a",IF(Table1[[#This Row],[Minor Group]]&lt;&gt;"","n/a",IF(Table1[[#This Row],[Broad Group]]&lt;&gt;"",Table1[[#This Row],[Broad Group]],I556)))</f>
        <v>29-1210</v>
      </c>
      <c r="J5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Occupation]],J556))))</f>
        <v>n/a</v>
      </c>
      <c r="K557" s="2" t="str">
        <f>Table1[[#This Row],[Group Name]]</f>
        <v>Physicians</v>
      </c>
    </row>
    <row r="558" spans="3:11" x14ac:dyDescent="0.25">
      <c r="D558" s="5" t="s">
        <v>1017</v>
      </c>
      <c r="E558" s="5" t="s">
        <v>1018</v>
      </c>
      <c r="F5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58" s="2" t="str">
        <f>IF(Table1[[#This Row],[Type]]="Major",Table1[[#This Row],[Major Group]],G557)</f>
        <v>29-0000</v>
      </c>
      <c r="H558" s="2" t="str">
        <f>IF(Table1[[#This Row],[Major Group]]&lt;&gt;"","n/a",IF(Table1[[#This Row],[Minor Group]]&lt;&gt;"",Table1[[#This Row],[Minor Group]],H557))</f>
        <v>29-1000</v>
      </c>
      <c r="I558" s="2" t="str">
        <f>IF(Table1[[#This Row],[Major Group]]&lt;&gt;"","n/a",IF(Table1[[#This Row],[Minor Group]]&lt;&gt;"","n/a",IF(Table1[[#This Row],[Broad Group]]&lt;&gt;"",Table1[[#This Row],[Broad Group]],I557)))</f>
        <v>29-1210</v>
      </c>
      <c r="J5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Occupation]],J557))))</f>
        <v>29-1211</v>
      </c>
      <c r="K558" s="2" t="str">
        <f>Table1[[#This Row],[Group Name]]</f>
        <v>Anesthesiologists</v>
      </c>
    </row>
    <row r="559" spans="3:11" x14ac:dyDescent="0.25">
      <c r="D559" s="5" t="s">
        <v>1019</v>
      </c>
      <c r="E559" s="5" t="s">
        <v>1020</v>
      </c>
      <c r="F5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59" s="2" t="str">
        <f>IF(Table1[[#This Row],[Type]]="Major",Table1[[#This Row],[Major Group]],G558)</f>
        <v>29-0000</v>
      </c>
      <c r="H559" s="2" t="str">
        <f>IF(Table1[[#This Row],[Major Group]]&lt;&gt;"","n/a",IF(Table1[[#This Row],[Minor Group]]&lt;&gt;"",Table1[[#This Row],[Minor Group]],H558))</f>
        <v>29-1000</v>
      </c>
      <c r="I559" s="2" t="str">
        <f>IF(Table1[[#This Row],[Major Group]]&lt;&gt;"","n/a",IF(Table1[[#This Row],[Minor Group]]&lt;&gt;"","n/a",IF(Table1[[#This Row],[Broad Group]]&lt;&gt;"",Table1[[#This Row],[Broad Group]],I558)))</f>
        <v>29-1210</v>
      </c>
      <c r="J5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Occupation]],J558))))</f>
        <v>29-1212</v>
      </c>
      <c r="K559" s="2" t="str">
        <f>Table1[[#This Row],[Group Name]]</f>
        <v>Cardiologists</v>
      </c>
    </row>
    <row r="560" spans="3:11" x14ac:dyDescent="0.25">
      <c r="D560" s="5" t="s">
        <v>1021</v>
      </c>
      <c r="E560" s="5" t="s">
        <v>1022</v>
      </c>
      <c r="F5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0" s="2" t="str">
        <f>IF(Table1[[#This Row],[Type]]="Major",Table1[[#This Row],[Major Group]],G559)</f>
        <v>29-0000</v>
      </c>
      <c r="H560" s="2" t="str">
        <f>IF(Table1[[#This Row],[Major Group]]&lt;&gt;"","n/a",IF(Table1[[#This Row],[Minor Group]]&lt;&gt;"",Table1[[#This Row],[Minor Group]],H559))</f>
        <v>29-1000</v>
      </c>
      <c r="I560" s="2" t="str">
        <f>IF(Table1[[#This Row],[Major Group]]&lt;&gt;"","n/a",IF(Table1[[#This Row],[Minor Group]]&lt;&gt;"","n/a",IF(Table1[[#This Row],[Broad Group]]&lt;&gt;"",Table1[[#This Row],[Broad Group]],I559)))</f>
        <v>29-1210</v>
      </c>
      <c r="J5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Occupation]],J559))))</f>
        <v>29-1213</v>
      </c>
      <c r="K560" s="2" t="str">
        <f>Table1[[#This Row],[Group Name]]</f>
        <v>Dermatologists</v>
      </c>
    </row>
    <row r="561" spans="3:11" x14ac:dyDescent="0.25">
      <c r="D561" s="5" t="s">
        <v>1023</v>
      </c>
      <c r="E561" s="5" t="s">
        <v>1024</v>
      </c>
      <c r="F5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1" s="2" t="str">
        <f>IF(Table1[[#This Row],[Type]]="Major",Table1[[#This Row],[Major Group]],G560)</f>
        <v>29-0000</v>
      </c>
      <c r="H561" s="2" t="str">
        <f>IF(Table1[[#This Row],[Major Group]]&lt;&gt;"","n/a",IF(Table1[[#This Row],[Minor Group]]&lt;&gt;"",Table1[[#This Row],[Minor Group]],H560))</f>
        <v>29-1000</v>
      </c>
      <c r="I561" s="2" t="str">
        <f>IF(Table1[[#This Row],[Major Group]]&lt;&gt;"","n/a",IF(Table1[[#This Row],[Minor Group]]&lt;&gt;"","n/a",IF(Table1[[#This Row],[Broad Group]]&lt;&gt;"",Table1[[#This Row],[Broad Group]],I560)))</f>
        <v>29-1210</v>
      </c>
      <c r="J5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Occupation]],J560))))</f>
        <v>29-1214</v>
      </c>
      <c r="K561" s="2" t="str">
        <f>Table1[[#This Row],[Group Name]]</f>
        <v>Emergency Medicine Physicians</v>
      </c>
    </row>
    <row r="562" spans="3:11" x14ac:dyDescent="0.25">
      <c r="D562" s="5" t="s">
        <v>1025</v>
      </c>
      <c r="E562" s="5" t="s">
        <v>1026</v>
      </c>
      <c r="F5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2" s="2" t="str">
        <f>IF(Table1[[#This Row],[Type]]="Major",Table1[[#This Row],[Major Group]],G561)</f>
        <v>29-0000</v>
      </c>
      <c r="H562" s="2" t="str">
        <f>IF(Table1[[#This Row],[Major Group]]&lt;&gt;"","n/a",IF(Table1[[#This Row],[Minor Group]]&lt;&gt;"",Table1[[#This Row],[Minor Group]],H561))</f>
        <v>29-1000</v>
      </c>
      <c r="I562" s="2" t="str">
        <f>IF(Table1[[#This Row],[Major Group]]&lt;&gt;"","n/a",IF(Table1[[#This Row],[Minor Group]]&lt;&gt;"","n/a",IF(Table1[[#This Row],[Broad Group]]&lt;&gt;"",Table1[[#This Row],[Broad Group]],I561)))</f>
        <v>29-1210</v>
      </c>
      <c r="J5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Occupation]],J561))))</f>
        <v>29-1215</v>
      </c>
      <c r="K562" s="2" t="str">
        <f>Table1[[#This Row],[Group Name]]</f>
        <v>Family Medicine Physicians</v>
      </c>
    </row>
    <row r="563" spans="3:11" x14ac:dyDescent="0.25">
      <c r="D563" s="5" t="s">
        <v>1027</v>
      </c>
      <c r="E563" s="5" t="s">
        <v>1028</v>
      </c>
      <c r="F5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3" s="2" t="str">
        <f>IF(Table1[[#This Row],[Type]]="Major",Table1[[#This Row],[Major Group]],G562)</f>
        <v>29-0000</v>
      </c>
      <c r="H563" s="2" t="str">
        <f>IF(Table1[[#This Row],[Major Group]]&lt;&gt;"","n/a",IF(Table1[[#This Row],[Minor Group]]&lt;&gt;"",Table1[[#This Row],[Minor Group]],H562))</f>
        <v>29-1000</v>
      </c>
      <c r="I563" s="2" t="str">
        <f>IF(Table1[[#This Row],[Major Group]]&lt;&gt;"","n/a",IF(Table1[[#This Row],[Minor Group]]&lt;&gt;"","n/a",IF(Table1[[#This Row],[Broad Group]]&lt;&gt;"",Table1[[#This Row],[Broad Group]],I562)))</f>
        <v>29-1210</v>
      </c>
      <c r="J5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Occupation]],J562))))</f>
        <v>29-1216</v>
      </c>
      <c r="K563" s="2" t="str">
        <f>Table1[[#This Row],[Group Name]]</f>
        <v>General Internal Medicine Physicians</v>
      </c>
    </row>
    <row r="564" spans="3:11" x14ac:dyDescent="0.25">
      <c r="D564" s="5" t="s">
        <v>1029</v>
      </c>
      <c r="E564" s="5" t="s">
        <v>1030</v>
      </c>
      <c r="F5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4" s="2" t="str">
        <f>IF(Table1[[#This Row],[Type]]="Major",Table1[[#This Row],[Major Group]],G563)</f>
        <v>29-0000</v>
      </c>
      <c r="H564" s="2" t="str">
        <f>IF(Table1[[#This Row],[Major Group]]&lt;&gt;"","n/a",IF(Table1[[#This Row],[Minor Group]]&lt;&gt;"",Table1[[#This Row],[Minor Group]],H563))</f>
        <v>29-1000</v>
      </c>
      <c r="I564" s="2" t="str">
        <f>IF(Table1[[#This Row],[Major Group]]&lt;&gt;"","n/a",IF(Table1[[#This Row],[Minor Group]]&lt;&gt;"","n/a",IF(Table1[[#This Row],[Broad Group]]&lt;&gt;"",Table1[[#This Row],[Broad Group]],I563)))</f>
        <v>29-1210</v>
      </c>
      <c r="J5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Occupation]],J563))))</f>
        <v>29-1217</v>
      </c>
      <c r="K564" s="2" t="str">
        <f>Table1[[#This Row],[Group Name]]</f>
        <v>Neurologists</v>
      </c>
    </row>
    <row r="565" spans="3:11" x14ac:dyDescent="0.25">
      <c r="D565" s="5" t="s">
        <v>1031</v>
      </c>
      <c r="E565" s="5" t="s">
        <v>1032</v>
      </c>
      <c r="F5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5" s="2" t="str">
        <f>IF(Table1[[#This Row],[Type]]="Major",Table1[[#This Row],[Major Group]],G564)</f>
        <v>29-0000</v>
      </c>
      <c r="H565" s="2" t="str">
        <f>IF(Table1[[#This Row],[Major Group]]&lt;&gt;"","n/a",IF(Table1[[#This Row],[Minor Group]]&lt;&gt;"",Table1[[#This Row],[Minor Group]],H564))</f>
        <v>29-1000</v>
      </c>
      <c r="I565" s="2" t="str">
        <f>IF(Table1[[#This Row],[Major Group]]&lt;&gt;"","n/a",IF(Table1[[#This Row],[Minor Group]]&lt;&gt;"","n/a",IF(Table1[[#This Row],[Broad Group]]&lt;&gt;"",Table1[[#This Row],[Broad Group]],I564)))</f>
        <v>29-1210</v>
      </c>
      <c r="J5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Occupation]],J564))))</f>
        <v>29-1218</v>
      </c>
      <c r="K565" s="2" t="str">
        <f>Table1[[#This Row],[Group Name]]</f>
        <v>Obstetricians and Gynecologists</v>
      </c>
    </row>
    <row r="566" spans="3:11" x14ac:dyDescent="0.25">
      <c r="D566" s="5" t="s">
        <v>1033</v>
      </c>
      <c r="E566" s="5" t="s">
        <v>1034</v>
      </c>
      <c r="F5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6" s="2" t="str">
        <f>IF(Table1[[#This Row],[Type]]="Major",Table1[[#This Row],[Major Group]],G565)</f>
        <v>29-0000</v>
      </c>
      <c r="H566" s="2" t="str">
        <f>IF(Table1[[#This Row],[Major Group]]&lt;&gt;"","n/a",IF(Table1[[#This Row],[Minor Group]]&lt;&gt;"",Table1[[#This Row],[Minor Group]],H565))</f>
        <v>29-1000</v>
      </c>
      <c r="I566" s="2" t="str">
        <f>IF(Table1[[#This Row],[Major Group]]&lt;&gt;"","n/a",IF(Table1[[#This Row],[Minor Group]]&lt;&gt;"","n/a",IF(Table1[[#This Row],[Broad Group]]&lt;&gt;"",Table1[[#This Row],[Broad Group]],I565)))</f>
        <v>29-1210</v>
      </c>
      <c r="J5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Occupation]],J565))))</f>
        <v>29-1221</v>
      </c>
      <c r="K566" s="2" t="str">
        <f>Table1[[#This Row],[Group Name]]</f>
        <v>Pediatricians, General</v>
      </c>
    </row>
    <row r="567" spans="3:11" x14ac:dyDescent="0.25">
      <c r="D567" s="5" t="s">
        <v>1035</v>
      </c>
      <c r="E567" s="5" t="s">
        <v>1036</v>
      </c>
      <c r="F5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7" s="2" t="str">
        <f>IF(Table1[[#This Row],[Type]]="Major",Table1[[#This Row],[Major Group]],G566)</f>
        <v>29-0000</v>
      </c>
      <c r="H567" s="2" t="str">
        <f>IF(Table1[[#This Row],[Major Group]]&lt;&gt;"","n/a",IF(Table1[[#This Row],[Minor Group]]&lt;&gt;"",Table1[[#This Row],[Minor Group]],H566))</f>
        <v>29-1000</v>
      </c>
      <c r="I567" s="2" t="str">
        <f>IF(Table1[[#This Row],[Major Group]]&lt;&gt;"","n/a",IF(Table1[[#This Row],[Minor Group]]&lt;&gt;"","n/a",IF(Table1[[#This Row],[Broad Group]]&lt;&gt;"",Table1[[#This Row],[Broad Group]],I566)))</f>
        <v>29-1210</v>
      </c>
      <c r="J5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Occupation]],J566))))</f>
        <v>29-1222</v>
      </c>
      <c r="K567" s="2" t="str">
        <f>Table1[[#This Row],[Group Name]]</f>
        <v>Physicians, Pathologists</v>
      </c>
    </row>
    <row r="568" spans="3:11" x14ac:dyDescent="0.25">
      <c r="D568" s="5" t="s">
        <v>1037</v>
      </c>
      <c r="E568" s="5" t="s">
        <v>1038</v>
      </c>
      <c r="F5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8" s="2" t="str">
        <f>IF(Table1[[#This Row],[Type]]="Major",Table1[[#This Row],[Major Group]],G567)</f>
        <v>29-0000</v>
      </c>
      <c r="H568" s="2" t="str">
        <f>IF(Table1[[#This Row],[Major Group]]&lt;&gt;"","n/a",IF(Table1[[#This Row],[Minor Group]]&lt;&gt;"",Table1[[#This Row],[Minor Group]],H567))</f>
        <v>29-1000</v>
      </c>
      <c r="I568" s="2" t="str">
        <f>IF(Table1[[#This Row],[Major Group]]&lt;&gt;"","n/a",IF(Table1[[#This Row],[Minor Group]]&lt;&gt;"","n/a",IF(Table1[[#This Row],[Broad Group]]&lt;&gt;"",Table1[[#This Row],[Broad Group]],I567)))</f>
        <v>29-1210</v>
      </c>
      <c r="J5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Occupation]],J567))))</f>
        <v>29-1223</v>
      </c>
      <c r="K568" s="2" t="str">
        <f>Table1[[#This Row],[Group Name]]</f>
        <v>Psychiatrists</v>
      </c>
    </row>
    <row r="569" spans="3:11" x14ac:dyDescent="0.25">
      <c r="D569" s="5" t="s">
        <v>1039</v>
      </c>
      <c r="E569" s="5" t="s">
        <v>1040</v>
      </c>
      <c r="F5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69" s="2" t="str">
        <f>IF(Table1[[#This Row],[Type]]="Major",Table1[[#This Row],[Major Group]],G568)</f>
        <v>29-0000</v>
      </c>
      <c r="H569" s="2" t="str">
        <f>IF(Table1[[#This Row],[Major Group]]&lt;&gt;"","n/a",IF(Table1[[#This Row],[Minor Group]]&lt;&gt;"",Table1[[#This Row],[Minor Group]],H568))</f>
        <v>29-1000</v>
      </c>
      <c r="I569" s="2" t="str">
        <f>IF(Table1[[#This Row],[Major Group]]&lt;&gt;"","n/a",IF(Table1[[#This Row],[Minor Group]]&lt;&gt;"","n/a",IF(Table1[[#This Row],[Broad Group]]&lt;&gt;"",Table1[[#This Row],[Broad Group]],I568)))</f>
        <v>29-1210</v>
      </c>
      <c r="J5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Occupation]],J568))))</f>
        <v>29-1224</v>
      </c>
      <c r="K569" s="2" t="str">
        <f>Table1[[#This Row],[Group Name]]</f>
        <v>Radiologists</v>
      </c>
    </row>
    <row r="570" spans="3:11" x14ac:dyDescent="0.25">
      <c r="D570" s="5" t="s">
        <v>1041</v>
      </c>
      <c r="E570" s="5" t="s">
        <v>1042</v>
      </c>
      <c r="F5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0" s="2" t="str">
        <f>IF(Table1[[#This Row],[Type]]="Major",Table1[[#This Row],[Major Group]],G569)</f>
        <v>29-0000</v>
      </c>
      <c r="H570" s="2" t="str">
        <f>IF(Table1[[#This Row],[Major Group]]&lt;&gt;"","n/a",IF(Table1[[#This Row],[Minor Group]]&lt;&gt;"",Table1[[#This Row],[Minor Group]],H569))</f>
        <v>29-1000</v>
      </c>
      <c r="I570" s="2" t="str">
        <f>IF(Table1[[#This Row],[Major Group]]&lt;&gt;"","n/a",IF(Table1[[#This Row],[Minor Group]]&lt;&gt;"","n/a",IF(Table1[[#This Row],[Broad Group]]&lt;&gt;"",Table1[[#This Row],[Broad Group]],I569)))</f>
        <v>29-1210</v>
      </c>
      <c r="J5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Occupation]],J569))))</f>
        <v>29-1229</v>
      </c>
      <c r="K570" s="2" t="str">
        <f>Table1[[#This Row],[Group Name]]</f>
        <v>Physicians, All Other</v>
      </c>
    </row>
    <row r="571" spans="3:11" x14ac:dyDescent="0.25">
      <c r="C571" s="1" t="s">
        <v>1043</v>
      </c>
      <c r="E571" s="1" t="s">
        <v>1044</v>
      </c>
      <c r="F5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71" s="2" t="str">
        <f>IF(Table1[[#This Row],[Type]]="Major",Table1[[#This Row],[Major Group]],G570)</f>
        <v>29-0000</v>
      </c>
      <c r="H571" s="2" t="str">
        <f>IF(Table1[[#This Row],[Major Group]]&lt;&gt;"","n/a",IF(Table1[[#This Row],[Minor Group]]&lt;&gt;"",Table1[[#This Row],[Minor Group]],H570))</f>
        <v>29-1000</v>
      </c>
      <c r="I571" s="2" t="str">
        <f>IF(Table1[[#This Row],[Major Group]]&lt;&gt;"","n/a",IF(Table1[[#This Row],[Minor Group]]&lt;&gt;"","n/a",IF(Table1[[#This Row],[Broad Group]]&lt;&gt;"",Table1[[#This Row],[Broad Group]],I570)))</f>
        <v>29-1240</v>
      </c>
      <c r="J5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Occupation]],J570))))</f>
        <v>n/a</v>
      </c>
      <c r="K571" s="2" t="str">
        <f>Table1[[#This Row],[Group Name]]</f>
        <v>Surgeons</v>
      </c>
    </row>
    <row r="572" spans="3:11" x14ac:dyDescent="0.25">
      <c r="D572" s="5" t="s">
        <v>1045</v>
      </c>
      <c r="E572" s="5" t="s">
        <v>1046</v>
      </c>
      <c r="F5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2" s="2" t="str">
        <f>IF(Table1[[#This Row],[Type]]="Major",Table1[[#This Row],[Major Group]],G571)</f>
        <v>29-0000</v>
      </c>
      <c r="H572" s="2" t="str">
        <f>IF(Table1[[#This Row],[Major Group]]&lt;&gt;"","n/a",IF(Table1[[#This Row],[Minor Group]]&lt;&gt;"",Table1[[#This Row],[Minor Group]],H571))</f>
        <v>29-1000</v>
      </c>
      <c r="I572" s="2" t="str">
        <f>IF(Table1[[#This Row],[Major Group]]&lt;&gt;"","n/a",IF(Table1[[#This Row],[Minor Group]]&lt;&gt;"","n/a",IF(Table1[[#This Row],[Broad Group]]&lt;&gt;"",Table1[[#This Row],[Broad Group]],I571)))</f>
        <v>29-1240</v>
      </c>
      <c r="J5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Occupation]],J571))))</f>
        <v>29-1241</v>
      </c>
      <c r="K572" s="2" t="str">
        <f>Table1[[#This Row],[Group Name]]</f>
        <v>Ophthalmologists, Except Pediatric</v>
      </c>
    </row>
    <row r="573" spans="3:11" x14ac:dyDescent="0.25">
      <c r="D573" s="5" t="s">
        <v>1047</v>
      </c>
      <c r="E573" s="5" t="s">
        <v>1048</v>
      </c>
      <c r="F5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3" s="2" t="str">
        <f>IF(Table1[[#This Row],[Type]]="Major",Table1[[#This Row],[Major Group]],G572)</f>
        <v>29-0000</v>
      </c>
      <c r="H573" s="2" t="str">
        <f>IF(Table1[[#This Row],[Major Group]]&lt;&gt;"","n/a",IF(Table1[[#This Row],[Minor Group]]&lt;&gt;"",Table1[[#This Row],[Minor Group]],H572))</f>
        <v>29-1000</v>
      </c>
      <c r="I573" s="2" t="str">
        <f>IF(Table1[[#This Row],[Major Group]]&lt;&gt;"","n/a",IF(Table1[[#This Row],[Minor Group]]&lt;&gt;"","n/a",IF(Table1[[#This Row],[Broad Group]]&lt;&gt;"",Table1[[#This Row],[Broad Group]],I572)))</f>
        <v>29-1240</v>
      </c>
      <c r="J5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Occupation]],J572))))</f>
        <v>29-1242</v>
      </c>
      <c r="K573" s="2" t="str">
        <f>Table1[[#This Row],[Group Name]]</f>
        <v>Orthopedic Surgeons, Except Pediatric</v>
      </c>
    </row>
    <row r="574" spans="3:11" x14ac:dyDescent="0.25">
      <c r="D574" s="5" t="s">
        <v>1049</v>
      </c>
      <c r="E574" s="5" t="s">
        <v>1050</v>
      </c>
      <c r="F5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4" s="2" t="str">
        <f>IF(Table1[[#This Row],[Type]]="Major",Table1[[#This Row],[Major Group]],G573)</f>
        <v>29-0000</v>
      </c>
      <c r="H574" s="2" t="str">
        <f>IF(Table1[[#This Row],[Major Group]]&lt;&gt;"","n/a",IF(Table1[[#This Row],[Minor Group]]&lt;&gt;"",Table1[[#This Row],[Minor Group]],H573))</f>
        <v>29-1000</v>
      </c>
      <c r="I574" s="2" t="str">
        <f>IF(Table1[[#This Row],[Major Group]]&lt;&gt;"","n/a",IF(Table1[[#This Row],[Minor Group]]&lt;&gt;"","n/a",IF(Table1[[#This Row],[Broad Group]]&lt;&gt;"",Table1[[#This Row],[Broad Group]],I573)))</f>
        <v>29-1240</v>
      </c>
      <c r="J5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Occupation]],J573))))</f>
        <v>29-1243</v>
      </c>
      <c r="K574" s="2" t="str">
        <f>Table1[[#This Row],[Group Name]]</f>
        <v>Pediatric Surgeons</v>
      </c>
    </row>
    <row r="575" spans="3:11" x14ac:dyDescent="0.25">
      <c r="D575" s="5" t="s">
        <v>1051</v>
      </c>
      <c r="E575" s="5" t="s">
        <v>1052</v>
      </c>
      <c r="F5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5" s="2" t="str">
        <f>IF(Table1[[#This Row],[Type]]="Major",Table1[[#This Row],[Major Group]],G574)</f>
        <v>29-0000</v>
      </c>
      <c r="H575" s="2" t="str">
        <f>IF(Table1[[#This Row],[Major Group]]&lt;&gt;"","n/a",IF(Table1[[#This Row],[Minor Group]]&lt;&gt;"",Table1[[#This Row],[Minor Group]],H574))</f>
        <v>29-1000</v>
      </c>
      <c r="I575" s="2" t="str">
        <f>IF(Table1[[#This Row],[Major Group]]&lt;&gt;"","n/a",IF(Table1[[#This Row],[Minor Group]]&lt;&gt;"","n/a",IF(Table1[[#This Row],[Broad Group]]&lt;&gt;"",Table1[[#This Row],[Broad Group]],I574)))</f>
        <v>29-1240</v>
      </c>
      <c r="J5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Occupation]],J574))))</f>
        <v>29-1249</v>
      </c>
      <c r="K575" s="2" t="str">
        <f>Table1[[#This Row],[Group Name]]</f>
        <v>Surgeons, All Other</v>
      </c>
    </row>
    <row r="576" spans="3:11" ht="45" x14ac:dyDescent="0.25">
      <c r="C576" s="1" t="s">
        <v>1053</v>
      </c>
      <c r="E576" s="1" t="s">
        <v>1054</v>
      </c>
      <c r="F5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76" s="2" t="str">
        <f>IF(Table1[[#This Row],[Type]]="Major",Table1[[#This Row],[Major Group]],G575)</f>
        <v>29-0000</v>
      </c>
      <c r="H576" s="2" t="str">
        <f>IF(Table1[[#This Row],[Major Group]]&lt;&gt;"","n/a",IF(Table1[[#This Row],[Minor Group]]&lt;&gt;"",Table1[[#This Row],[Minor Group]],H575))</f>
        <v>29-1000</v>
      </c>
      <c r="I576" s="2" t="str">
        <f>IF(Table1[[#This Row],[Major Group]]&lt;&gt;"","n/a",IF(Table1[[#This Row],[Minor Group]]&lt;&gt;"","n/a",IF(Table1[[#This Row],[Broad Group]]&lt;&gt;"",Table1[[#This Row],[Broad Group]],I575)))</f>
        <v>29-1290</v>
      </c>
      <c r="J5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Occupation]],J575))))</f>
        <v>n/a</v>
      </c>
      <c r="K576" s="2" t="str">
        <f>Table1[[#This Row],[Group Name]]</f>
        <v>Miscellaneous Healthcare Diagnosing or Treating Practitioners</v>
      </c>
    </row>
    <row r="577" spans="2:11" x14ac:dyDescent="0.25">
      <c r="D577" s="5" t="s">
        <v>1055</v>
      </c>
      <c r="E577" s="5" t="s">
        <v>1056</v>
      </c>
      <c r="F5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7" s="2" t="str">
        <f>IF(Table1[[#This Row],[Type]]="Major",Table1[[#This Row],[Major Group]],G576)</f>
        <v>29-0000</v>
      </c>
      <c r="H577" s="2" t="str">
        <f>IF(Table1[[#This Row],[Major Group]]&lt;&gt;"","n/a",IF(Table1[[#This Row],[Minor Group]]&lt;&gt;"",Table1[[#This Row],[Minor Group]],H576))</f>
        <v>29-1000</v>
      </c>
      <c r="I577" s="2" t="str">
        <f>IF(Table1[[#This Row],[Major Group]]&lt;&gt;"","n/a",IF(Table1[[#This Row],[Minor Group]]&lt;&gt;"","n/a",IF(Table1[[#This Row],[Broad Group]]&lt;&gt;"",Table1[[#This Row],[Broad Group]],I576)))</f>
        <v>29-1290</v>
      </c>
      <c r="J5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Occupation]],J576))))</f>
        <v>29-1291</v>
      </c>
      <c r="K577" s="2" t="str">
        <f>Table1[[#This Row],[Group Name]]</f>
        <v>Acupuncturists</v>
      </c>
    </row>
    <row r="578" spans="2:11" x14ac:dyDescent="0.25">
      <c r="D578" s="5" t="s">
        <v>1057</v>
      </c>
      <c r="E578" s="5" t="s">
        <v>1058</v>
      </c>
      <c r="F5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8" s="2" t="str">
        <f>IF(Table1[[#This Row],[Type]]="Major",Table1[[#This Row],[Major Group]],G577)</f>
        <v>29-0000</v>
      </c>
      <c r="H578" s="2" t="str">
        <f>IF(Table1[[#This Row],[Major Group]]&lt;&gt;"","n/a",IF(Table1[[#This Row],[Minor Group]]&lt;&gt;"",Table1[[#This Row],[Minor Group]],H577))</f>
        <v>29-1000</v>
      </c>
      <c r="I578" s="2" t="str">
        <f>IF(Table1[[#This Row],[Major Group]]&lt;&gt;"","n/a",IF(Table1[[#This Row],[Minor Group]]&lt;&gt;"","n/a",IF(Table1[[#This Row],[Broad Group]]&lt;&gt;"",Table1[[#This Row],[Broad Group]],I577)))</f>
        <v>29-1290</v>
      </c>
      <c r="J5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Occupation]],J577))))</f>
        <v>29-1292</v>
      </c>
      <c r="K578" s="2" t="str">
        <f>Table1[[#This Row],[Group Name]]</f>
        <v>Dental Hygienists</v>
      </c>
    </row>
    <row r="579" spans="2:11" ht="25.5" x14ac:dyDescent="0.25">
      <c r="D579" s="5" t="s">
        <v>1059</v>
      </c>
      <c r="E579" s="5" t="s">
        <v>1060</v>
      </c>
      <c r="F5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79" s="2" t="str">
        <f>IF(Table1[[#This Row],[Type]]="Major",Table1[[#This Row],[Major Group]],G578)</f>
        <v>29-0000</v>
      </c>
      <c r="H579" s="2" t="str">
        <f>IF(Table1[[#This Row],[Major Group]]&lt;&gt;"","n/a",IF(Table1[[#This Row],[Minor Group]]&lt;&gt;"",Table1[[#This Row],[Minor Group]],H578))</f>
        <v>29-1000</v>
      </c>
      <c r="I579" s="2" t="str">
        <f>IF(Table1[[#This Row],[Major Group]]&lt;&gt;"","n/a",IF(Table1[[#This Row],[Minor Group]]&lt;&gt;"","n/a",IF(Table1[[#This Row],[Broad Group]]&lt;&gt;"",Table1[[#This Row],[Broad Group]],I578)))</f>
        <v>29-1290</v>
      </c>
      <c r="J5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Occupation]],J578))))</f>
        <v>29-1299</v>
      </c>
      <c r="K579" s="2" t="str">
        <f>Table1[[#This Row],[Group Name]]</f>
        <v>Healthcare Diagnosing or Treating Practitioners, All Other</v>
      </c>
    </row>
    <row r="580" spans="2:11" x14ac:dyDescent="0.25">
      <c r="B580" s="3" t="s">
        <v>1061</v>
      </c>
      <c r="E580" s="3" t="s">
        <v>1062</v>
      </c>
      <c r="F5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580" s="2" t="str">
        <f>IF(Table1[[#This Row],[Type]]="Major",Table1[[#This Row],[Major Group]],G579)</f>
        <v>29-0000</v>
      </c>
      <c r="H580" s="2" t="str">
        <f>IF(Table1[[#This Row],[Major Group]]&lt;&gt;"","n/a",IF(Table1[[#This Row],[Minor Group]]&lt;&gt;"",Table1[[#This Row],[Minor Group]],H579))</f>
        <v>29-2000</v>
      </c>
      <c r="I580" s="2" t="str">
        <f>IF(Table1[[#This Row],[Major Group]]&lt;&gt;"","n/a",IF(Table1[[#This Row],[Minor Group]]&lt;&gt;"","n/a",IF(Table1[[#This Row],[Broad Group]]&lt;&gt;"",Table1[[#This Row],[Broad Group]],I579)))</f>
        <v>n/a</v>
      </c>
      <c r="J5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Occupation]],J579))))</f>
        <v>n/a</v>
      </c>
      <c r="K580" s="2" t="str">
        <f>Table1[[#This Row],[Group Name]]</f>
        <v>Health Technologists and Technicians</v>
      </c>
    </row>
    <row r="581" spans="2:11" ht="30" x14ac:dyDescent="0.25">
      <c r="C581" s="1" t="s">
        <v>1063</v>
      </c>
      <c r="E581" s="1" t="s">
        <v>1064</v>
      </c>
      <c r="F5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81" s="2" t="str">
        <f>IF(Table1[[#This Row],[Type]]="Major",Table1[[#This Row],[Major Group]],G580)</f>
        <v>29-0000</v>
      </c>
      <c r="H581" s="2" t="str">
        <f>IF(Table1[[#This Row],[Major Group]]&lt;&gt;"","n/a",IF(Table1[[#This Row],[Minor Group]]&lt;&gt;"",Table1[[#This Row],[Minor Group]],H580))</f>
        <v>29-2000</v>
      </c>
      <c r="I581" s="2" t="str">
        <f>IF(Table1[[#This Row],[Major Group]]&lt;&gt;"","n/a",IF(Table1[[#This Row],[Minor Group]]&lt;&gt;"","n/a",IF(Table1[[#This Row],[Broad Group]]&lt;&gt;"",Table1[[#This Row],[Broad Group]],I580)))</f>
        <v>29-2010</v>
      </c>
      <c r="J5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Occupation]],J580))))</f>
        <v>n/a</v>
      </c>
      <c r="K581" s="2" t="str">
        <f>Table1[[#This Row],[Group Name]]</f>
        <v>Clinical Laboratory Technologists and Technicians</v>
      </c>
    </row>
    <row r="582" spans="2:11" ht="25.5" x14ac:dyDescent="0.25">
      <c r="D582" s="5" t="s">
        <v>1065</v>
      </c>
      <c r="E582" s="5" t="s">
        <v>1066</v>
      </c>
      <c r="F5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82" s="2" t="str">
        <f>IF(Table1[[#This Row],[Type]]="Major",Table1[[#This Row],[Major Group]],G581)</f>
        <v>29-0000</v>
      </c>
      <c r="H582" s="2" t="str">
        <f>IF(Table1[[#This Row],[Major Group]]&lt;&gt;"","n/a",IF(Table1[[#This Row],[Minor Group]]&lt;&gt;"",Table1[[#This Row],[Minor Group]],H581))</f>
        <v>29-2000</v>
      </c>
      <c r="I582" s="2" t="str">
        <f>IF(Table1[[#This Row],[Major Group]]&lt;&gt;"","n/a",IF(Table1[[#This Row],[Minor Group]]&lt;&gt;"","n/a",IF(Table1[[#This Row],[Broad Group]]&lt;&gt;"",Table1[[#This Row],[Broad Group]],I581)))</f>
        <v>29-2010</v>
      </c>
      <c r="J5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Occupation]],J581))))</f>
        <v>29-2011</v>
      </c>
      <c r="K582" s="2" t="str">
        <f>Table1[[#This Row],[Group Name]]</f>
        <v>Medical and Clinical Laboratory Technologists</v>
      </c>
    </row>
    <row r="583" spans="2:11" ht="25.5" x14ac:dyDescent="0.25">
      <c r="D583" s="5" t="s">
        <v>1067</v>
      </c>
      <c r="E583" s="5" t="s">
        <v>1068</v>
      </c>
      <c r="F5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83" s="2" t="str">
        <f>IF(Table1[[#This Row],[Type]]="Major",Table1[[#This Row],[Major Group]],G582)</f>
        <v>29-0000</v>
      </c>
      <c r="H583" s="2" t="str">
        <f>IF(Table1[[#This Row],[Major Group]]&lt;&gt;"","n/a",IF(Table1[[#This Row],[Minor Group]]&lt;&gt;"",Table1[[#This Row],[Minor Group]],H582))</f>
        <v>29-2000</v>
      </c>
      <c r="I583" s="2" t="str">
        <f>IF(Table1[[#This Row],[Major Group]]&lt;&gt;"","n/a",IF(Table1[[#This Row],[Minor Group]]&lt;&gt;"","n/a",IF(Table1[[#This Row],[Broad Group]]&lt;&gt;"",Table1[[#This Row],[Broad Group]],I582)))</f>
        <v>29-2010</v>
      </c>
      <c r="J5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Occupation]],J582))))</f>
        <v>29-2012</v>
      </c>
      <c r="K583" s="2" t="str">
        <f>Table1[[#This Row],[Group Name]]</f>
        <v>Medical and Clinical Laboratory Technicians</v>
      </c>
    </row>
    <row r="584" spans="2:11" ht="30" x14ac:dyDescent="0.25">
      <c r="C584" s="1" t="s">
        <v>1069</v>
      </c>
      <c r="E584" s="1" t="s">
        <v>1070</v>
      </c>
      <c r="F5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84" s="2" t="str">
        <f>IF(Table1[[#This Row],[Type]]="Major",Table1[[#This Row],[Major Group]],G583)</f>
        <v>29-0000</v>
      </c>
      <c r="H584" s="2" t="str">
        <f>IF(Table1[[#This Row],[Major Group]]&lt;&gt;"","n/a",IF(Table1[[#This Row],[Minor Group]]&lt;&gt;"",Table1[[#This Row],[Minor Group]],H583))</f>
        <v>29-2000</v>
      </c>
      <c r="I584" s="2" t="str">
        <f>IF(Table1[[#This Row],[Major Group]]&lt;&gt;"","n/a",IF(Table1[[#This Row],[Minor Group]]&lt;&gt;"","n/a",IF(Table1[[#This Row],[Broad Group]]&lt;&gt;"",Table1[[#This Row],[Broad Group]],I583)))</f>
        <v>29-2030</v>
      </c>
      <c r="J5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Occupation]],J583))))</f>
        <v>n/a</v>
      </c>
      <c r="K584" s="2" t="str">
        <f>Table1[[#This Row],[Group Name]]</f>
        <v>Diagnostic Related Technologists and Technicians</v>
      </c>
    </row>
    <row r="585" spans="2:11" ht="25.5" x14ac:dyDescent="0.25">
      <c r="D585" s="5" t="s">
        <v>1071</v>
      </c>
      <c r="E585" s="5" t="s">
        <v>1072</v>
      </c>
      <c r="F5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85" s="2" t="str">
        <f>IF(Table1[[#This Row],[Type]]="Major",Table1[[#This Row],[Major Group]],G584)</f>
        <v>29-0000</v>
      </c>
      <c r="H585" s="2" t="str">
        <f>IF(Table1[[#This Row],[Major Group]]&lt;&gt;"","n/a",IF(Table1[[#This Row],[Minor Group]]&lt;&gt;"",Table1[[#This Row],[Minor Group]],H584))</f>
        <v>29-2000</v>
      </c>
      <c r="I585" s="2" t="str">
        <f>IF(Table1[[#This Row],[Major Group]]&lt;&gt;"","n/a",IF(Table1[[#This Row],[Minor Group]]&lt;&gt;"","n/a",IF(Table1[[#This Row],[Broad Group]]&lt;&gt;"",Table1[[#This Row],[Broad Group]],I584)))</f>
        <v>29-2030</v>
      </c>
      <c r="J5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Occupation]],J584))))</f>
        <v>29-2031</v>
      </c>
      <c r="K585" s="2" t="str">
        <f>Table1[[#This Row],[Group Name]]</f>
        <v>Cardiovascular Technologists and Technicians</v>
      </c>
    </row>
    <row r="586" spans="2:11" x14ac:dyDescent="0.25">
      <c r="D586" s="5" t="s">
        <v>1073</v>
      </c>
      <c r="E586" s="5" t="s">
        <v>1074</v>
      </c>
      <c r="F5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86" s="2" t="str">
        <f>IF(Table1[[#This Row],[Type]]="Major",Table1[[#This Row],[Major Group]],G585)</f>
        <v>29-0000</v>
      </c>
      <c r="H586" s="2" t="str">
        <f>IF(Table1[[#This Row],[Major Group]]&lt;&gt;"","n/a",IF(Table1[[#This Row],[Minor Group]]&lt;&gt;"",Table1[[#This Row],[Minor Group]],H585))</f>
        <v>29-2000</v>
      </c>
      <c r="I586" s="2" t="str">
        <f>IF(Table1[[#This Row],[Major Group]]&lt;&gt;"","n/a",IF(Table1[[#This Row],[Minor Group]]&lt;&gt;"","n/a",IF(Table1[[#This Row],[Broad Group]]&lt;&gt;"",Table1[[#This Row],[Broad Group]],I585)))</f>
        <v>29-2030</v>
      </c>
      <c r="J5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Occupation]],J585))))</f>
        <v>29-2032</v>
      </c>
      <c r="K586" s="2" t="str">
        <f>Table1[[#This Row],[Group Name]]</f>
        <v>Diagnostic Medical Sonographers</v>
      </c>
    </row>
    <row r="587" spans="2:11" x14ac:dyDescent="0.25">
      <c r="D587" s="5" t="s">
        <v>1075</v>
      </c>
      <c r="E587" s="5" t="s">
        <v>1076</v>
      </c>
      <c r="F5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87" s="2" t="str">
        <f>IF(Table1[[#This Row],[Type]]="Major",Table1[[#This Row],[Major Group]],G586)</f>
        <v>29-0000</v>
      </c>
      <c r="H587" s="2" t="str">
        <f>IF(Table1[[#This Row],[Major Group]]&lt;&gt;"","n/a",IF(Table1[[#This Row],[Minor Group]]&lt;&gt;"",Table1[[#This Row],[Minor Group]],H586))</f>
        <v>29-2000</v>
      </c>
      <c r="I587" s="2" t="str">
        <f>IF(Table1[[#This Row],[Major Group]]&lt;&gt;"","n/a",IF(Table1[[#This Row],[Minor Group]]&lt;&gt;"","n/a",IF(Table1[[#This Row],[Broad Group]]&lt;&gt;"",Table1[[#This Row],[Broad Group]],I586)))</f>
        <v>29-2030</v>
      </c>
      <c r="J5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Occupation]],J586))))</f>
        <v>29-2033</v>
      </c>
      <c r="K587" s="2" t="str">
        <f>Table1[[#This Row],[Group Name]]</f>
        <v>Nuclear Medicine Technologists</v>
      </c>
    </row>
    <row r="588" spans="2:11" ht="25.5" x14ac:dyDescent="0.25">
      <c r="D588" s="5" t="s">
        <v>1077</v>
      </c>
      <c r="E588" s="5" t="s">
        <v>1078</v>
      </c>
      <c r="F5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88" s="2" t="str">
        <f>IF(Table1[[#This Row],[Type]]="Major",Table1[[#This Row],[Major Group]],G587)</f>
        <v>29-0000</v>
      </c>
      <c r="H588" s="2" t="str">
        <f>IF(Table1[[#This Row],[Major Group]]&lt;&gt;"","n/a",IF(Table1[[#This Row],[Minor Group]]&lt;&gt;"",Table1[[#This Row],[Minor Group]],H587))</f>
        <v>29-2000</v>
      </c>
      <c r="I588" s="2" t="str">
        <f>IF(Table1[[#This Row],[Major Group]]&lt;&gt;"","n/a",IF(Table1[[#This Row],[Minor Group]]&lt;&gt;"","n/a",IF(Table1[[#This Row],[Broad Group]]&lt;&gt;"",Table1[[#This Row],[Broad Group]],I587)))</f>
        <v>29-2030</v>
      </c>
      <c r="J5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Occupation]],J587))))</f>
        <v>29-2034</v>
      </c>
      <c r="K588" s="2" t="str">
        <f>Table1[[#This Row],[Group Name]]</f>
        <v>Radiologic Technologists and Technicians</v>
      </c>
    </row>
    <row r="589" spans="2:11" ht="25.5" x14ac:dyDescent="0.25">
      <c r="D589" s="5" t="s">
        <v>1079</v>
      </c>
      <c r="E589" s="5" t="s">
        <v>1080</v>
      </c>
      <c r="F5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89" s="2" t="str">
        <f>IF(Table1[[#This Row],[Type]]="Major",Table1[[#This Row],[Major Group]],G588)</f>
        <v>29-0000</v>
      </c>
      <c r="H589" s="2" t="str">
        <f>IF(Table1[[#This Row],[Major Group]]&lt;&gt;"","n/a",IF(Table1[[#This Row],[Minor Group]]&lt;&gt;"",Table1[[#This Row],[Minor Group]],H588))</f>
        <v>29-2000</v>
      </c>
      <c r="I589" s="2" t="str">
        <f>IF(Table1[[#This Row],[Major Group]]&lt;&gt;"","n/a",IF(Table1[[#This Row],[Minor Group]]&lt;&gt;"","n/a",IF(Table1[[#This Row],[Broad Group]]&lt;&gt;"",Table1[[#This Row],[Broad Group]],I588)))</f>
        <v>29-2030</v>
      </c>
      <c r="J5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Occupation]],J588))))</f>
        <v>29-2035</v>
      </c>
      <c r="K589" s="2" t="str">
        <f>Table1[[#This Row],[Group Name]]</f>
        <v>Magnetic Resonance Imaging Technologists</v>
      </c>
    </row>
    <row r="590" spans="2:11" x14ac:dyDescent="0.25">
      <c r="D590" s="5" t="s">
        <v>1081</v>
      </c>
      <c r="E590" s="5" t="s">
        <v>1082</v>
      </c>
      <c r="F5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0" s="2" t="str">
        <f>IF(Table1[[#This Row],[Type]]="Major",Table1[[#This Row],[Major Group]],G589)</f>
        <v>29-0000</v>
      </c>
      <c r="H590" s="2" t="str">
        <f>IF(Table1[[#This Row],[Major Group]]&lt;&gt;"","n/a",IF(Table1[[#This Row],[Minor Group]]&lt;&gt;"",Table1[[#This Row],[Minor Group]],H589))</f>
        <v>29-2000</v>
      </c>
      <c r="I590" s="2" t="str">
        <f>IF(Table1[[#This Row],[Major Group]]&lt;&gt;"","n/a",IF(Table1[[#This Row],[Minor Group]]&lt;&gt;"","n/a",IF(Table1[[#This Row],[Broad Group]]&lt;&gt;"",Table1[[#This Row],[Broad Group]],I589)))</f>
        <v>29-2030</v>
      </c>
      <c r="J5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Occupation]],J589))))</f>
        <v>29-2036</v>
      </c>
      <c r="K590" s="2" t="str">
        <f>Table1[[#This Row],[Group Name]]</f>
        <v>Medical Dosimetrists</v>
      </c>
    </row>
    <row r="591" spans="2:11" ht="30" x14ac:dyDescent="0.25">
      <c r="C591" s="1" t="s">
        <v>1083</v>
      </c>
      <c r="E591" s="1" t="s">
        <v>1084</v>
      </c>
      <c r="F5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91" s="2" t="str">
        <f>IF(Table1[[#This Row],[Type]]="Major",Table1[[#This Row],[Major Group]],G590)</f>
        <v>29-0000</v>
      </c>
      <c r="H591" s="2" t="str">
        <f>IF(Table1[[#This Row],[Major Group]]&lt;&gt;"","n/a",IF(Table1[[#This Row],[Minor Group]]&lt;&gt;"",Table1[[#This Row],[Minor Group]],H590))</f>
        <v>29-2000</v>
      </c>
      <c r="I591" s="2" t="str">
        <f>IF(Table1[[#This Row],[Major Group]]&lt;&gt;"","n/a",IF(Table1[[#This Row],[Minor Group]]&lt;&gt;"","n/a",IF(Table1[[#This Row],[Broad Group]]&lt;&gt;"",Table1[[#This Row],[Broad Group]],I590)))</f>
        <v>29-2040</v>
      </c>
      <c r="J5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Occupation]],J590))))</f>
        <v>n/a</v>
      </c>
      <c r="K591" s="2" t="str">
        <f>Table1[[#This Row],[Group Name]]</f>
        <v>Emergency Medical Technicians and Paramedics</v>
      </c>
    </row>
    <row r="592" spans="2:11" x14ac:dyDescent="0.25">
      <c r="D592" s="5" t="s">
        <v>1085</v>
      </c>
      <c r="E592" s="5" t="s">
        <v>1086</v>
      </c>
      <c r="F5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2" s="2" t="str">
        <f>IF(Table1[[#This Row],[Type]]="Major",Table1[[#This Row],[Major Group]],G591)</f>
        <v>29-0000</v>
      </c>
      <c r="H592" s="2" t="str">
        <f>IF(Table1[[#This Row],[Major Group]]&lt;&gt;"","n/a",IF(Table1[[#This Row],[Minor Group]]&lt;&gt;"",Table1[[#This Row],[Minor Group]],H591))</f>
        <v>29-2000</v>
      </c>
      <c r="I592" s="2" t="str">
        <f>IF(Table1[[#This Row],[Major Group]]&lt;&gt;"","n/a",IF(Table1[[#This Row],[Minor Group]]&lt;&gt;"","n/a",IF(Table1[[#This Row],[Broad Group]]&lt;&gt;"",Table1[[#This Row],[Broad Group]],I591)))</f>
        <v>29-2040</v>
      </c>
      <c r="J5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Occupation]],J591))))</f>
        <v>29-2042</v>
      </c>
      <c r="K592" s="2" t="str">
        <f>Table1[[#This Row],[Group Name]]</f>
        <v>Emergency Medical Technicians</v>
      </c>
    </row>
    <row r="593" spans="3:11" x14ac:dyDescent="0.25">
      <c r="D593" s="5" t="s">
        <v>1087</v>
      </c>
      <c r="E593" s="5" t="s">
        <v>1088</v>
      </c>
      <c r="F5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3" s="2" t="str">
        <f>IF(Table1[[#This Row],[Type]]="Major",Table1[[#This Row],[Major Group]],G592)</f>
        <v>29-0000</v>
      </c>
      <c r="H593" s="2" t="str">
        <f>IF(Table1[[#This Row],[Major Group]]&lt;&gt;"","n/a",IF(Table1[[#This Row],[Minor Group]]&lt;&gt;"",Table1[[#This Row],[Minor Group]],H592))</f>
        <v>29-2000</v>
      </c>
      <c r="I593" s="2" t="str">
        <f>IF(Table1[[#This Row],[Major Group]]&lt;&gt;"","n/a",IF(Table1[[#This Row],[Minor Group]]&lt;&gt;"","n/a",IF(Table1[[#This Row],[Broad Group]]&lt;&gt;"",Table1[[#This Row],[Broad Group]],I592)))</f>
        <v>29-2040</v>
      </c>
      <c r="J5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Occupation]],J592))))</f>
        <v>29-2043</v>
      </c>
      <c r="K593" s="2" t="str">
        <f>Table1[[#This Row],[Group Name]]</f>
        <v>Paramedics</v>
      </c>
    </row>
    <row r="594" spans="3:11" ht="30" x14ac:dyDescent="0.25">
      <c r="C594" s="1" t="s">
        <v>1089</v>
      </c>
      <c r="E594" s="1" t="s">
        <v>1090</v>
      </c>
      <c r="F5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594" s="2" t="str">
        <f>IF(Table1[[#This Row],[Type]]="Major",Table1[[#This Row],[Major Group]],G593)</f>
        <v>29-0000</v>
      </c>
      <c r="H594" s="2" t="str">
        <f>IF(Table1[[#This Row],[Major Group]]&lt;&gt;"","n/a",IF(Table1[[#This Row],[Minor Group]]&lt;&gt;"",Table1[[#This Row],[Minor Group]],H593))</f>
        <v>29-2000</v>
      </c>
      <c r="I594" s="2" t="str">
        <f>IF(Table1[[#This Row],[Major Group]]&lt;&gt;"","n/a",IF(Table1[[#This Row],[Minor Group]]&lt;&gt;"","n/a",IF(Table1[[#This Row],[Broad Group]]&lt;&gt;"",Table1[[#This Row],[Broad Group]],I593)))</f>
        <v>29-2050</v>
      </c>
      <c r="J5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Occupation]],J593))))</f>
        <v>n/a</v>
      </c>
      <c r="K594" s="2" t="str">
        <f>Table1[[#This Row],[Group Name]]</f>
        <v>Health Practitioner Support Technologists and Technicians</v>
      </c>
    </row>
    <row r="595" spans="3:11" x14ac:dyDescent="0.25">
      <c r="D595" s="5" t="s">
        <v>1091</v>
      </c>
      <c r="E595" s="5" t="s">
        <v>1092</v>
      </c>
      <c r="F5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5" s="2" t="str">
        <f>IF(Table1[[#This Row],[Type]]="Major",Table1[[#This Row],[Major Group]],G594)</f>
        <v>29-0000</v>
      </c>
      <c r="H595" s="2" t="str">
        <f>IF(Table1[[#This Row],[Major Group]]&lt;&gt;"","n/a",IF(Table1[[#This Row],[Minor Group]]&lt;&gt;"",Table1[[#This Row],[Minor Group]],H594))</f>
        <v>29-2000</v>
      </c>
      <c r="I595" s="2" t="str">
        <f>IF(Table1[[#This Row],[Major Group]]&lt;&gt;"","n/a",IF(Table1[[#This Row],[Minor Group]]&lt;&gt;"","n/a",IF(Table1[[#This Row],[Broad Group]]&lt;&gt;"",Table1[[#This Row],[Broad Group]],I594)))</f>
        <v>29-2050</v>
      </c>
      <c r="J5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Occupation]],J594))))</f>
        <v>29-2051</v>
      </c>
      <c r="K595" s="2" t="str">
        <f>Table1[[#This Row],[Group Name]]</f>
        <v>Dietetic Technicians</v>
      </c>
    </row>
    <row r="596" spans="3:11" x14ac:dyDescent="0.25">
      <c r="D596" s="5" t="s">
        <v>1093</v>
      </c>
      <c r="E596" s="5" t="s">
        <v>1094</v>
      </c>
      <c r="F5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6" s="2" t="str">
        <f>IF(Table1[[#This Row],[Type]]="Major",Table1[[#This Row],[Major Group]],G595)</f>
        <v>29-0000</v>
      </c>
      <c r="H596" s="2" t="str">
        <f>IF(Table1[[#This Row],[Major Group]]&lt;&gt;"","n/a",IF(Table1[[#This Row],[Minor Group]]&lt;&gt;"",Table1[[#This Row],[Minor Group]],H595))</f>
        <v>29-2000</v>
      </c>
      <c r="I596" s="2" t="str">
        <f>IF(Table1[[#This Row],[Major Group]]&lt;&gt;"","n/a",IF(Table1[[#This Row],[Minor Group]]&lt;&gt;"","n/a",IF(Table1[[#This Row],[Broad Group]]&lt;&gt;"",Table1[[#This Row],[Broad Group]],I595)))</f>
        <v>29-2050</v>
      </c>
      <c r="J5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Occupation]],J595))))</f>
        <v>29-2052</v>
      </c>
      <c r="K596" s="2" t="str">
        <f>Table1[[#This Row],[Group Name]]</f>
        <v>Pharmacy Technicians</v>
      </c>
    </row>
    <row r="597" spans="3:11" x14ac:dyDescent="0.25">
      <c r="D597" s="5" t="s">
        <v>1095</v>
      </c>
      <c r="E597" s="5" t="s">
        <v>1096</v>
      </c>
      <c r="F5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7" s="2" t="str">
        <f>IF(Table1[[#This Row],[Type]]="Major",Table1[[#This Row],[Major Group]],G596)</f>
        <v>29-0000</v>
      </c>
      <c r="H597" s="2" t="str">
        <f>IF(Table1[[#This Row],[Major Group]]&lt;&gt;"","n/a",IF(Table1[[#This Row],[Minor Group]]&lt;&gt;"",Table1[[#This Row],[Minor Group]],H596))</f>
        <v>29-2000</v>
      </c>
      <c r="I597" s="2" t="str">
        <f>IF(Table1[[#This Row],[Major Group]]&lt;&gt;"","n/a",IF(Table1[[#This Row],[Minor Group]]&lt;&gt;"","n/a",IF(Table1[[#This Row],[Broad Group]]&lt;&gt;"",Table1[[#This Row],[Broad Group]],I596)))</f>
        <v>29-2050</v>
      </c>
      <c r="J5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Occupation]],J596))))</f>
        <v>29-2053</v>
      </c>
      <c r="K597" s="2" t="str">
        <f>Table1[[#This Row],[Group Name]]</f>
        <v>Psychiatric Technicians</v>
      </c>
    </row>
    <row r="598" spans="3:11" x14ac:dyDescent="0.25">
      <c r="D598" s="5" t="s">
        <v>1097</v>
      </c>
      <c r="E598" s="5" t="s">
        <v>1098</v>
      </c>
      <c r="F5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8" s="2" t="str">
        <f>IF(Table1[[#This Row],[Type]]="Major",Table1[[#This Row],[Major Group]],G597)</f>
        <v>29-0000</v>
      </c>
      <c r="H598" s="2" t="str">
        <f>IF(Table1[[#This Row],[Major Group]]&lt;&gt;"","n/a",IF(Table1[[#This Row],[Minor Group]]&lt;&gt;"",Table1[[#This Row],[Minor Group]],H597))</f>
        <v>29-2000</v>
      </c>
      <c r="I598" s="2" t="str">
        <f>IF(Table1[[#This Row],[Major Group]]&lt;&gt;"","n/a",IF(Table1[[#This Row],[Minor Group]]&lt;&gt;"","n/a",IF(Table1[[#This Row],[Broad Group]]&lt;&gt;"",Table1[[#This Row],[Broad Group]],I597)))</f>
        <v>29-2050</v>
      </c>
      <c r="J5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Occupation]],J597))))</f>
        <v>29-2055</v>
      </c>
      <c r="K598" s="2" t="str">
        <f>Table1[[#This Row],[Group Name]]</f>
        <v>Surgical Technologists</v>
      </c>
    </row>
    <row r="599" spans="3:11" ht="25.5" x14ac:dyDescent="0.25">
      <c r="D599" s="5" t="s">
        <v>1099</v>
      </c>
      <c r="E599" s="5" t="s">
        <v>1100</v>
      </c>
      <c r="F5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599" s="2" t="str">
        <f>IF(Table1[[#This Row],[Type]]="Major",Table1[[#This Row],[Major Group]],G598)</f>
        <v>29-0000</v>
      </c>
      <c r="H599" s="2" t="str">
        <f>IF(Table1[[#This Row],[Major Group]]&lt;&gt;"","n/a",IF(Table1[[#This Row],[Minor Group]]&lt;&gt;"",Table1[[#This Row],[Minor Group]],H598))</f>
        <v>29-2000</v>
      </c>
      <c r="I599" s="2" t="str">
        <f>IF(Table1[[#This Row],[Major Group]]&lt;&gt;"","n/a",IF(Table1[[#This Row],[Minor Group]]&lt;&gt;"","n/a",IF(Table1[[#This Row],[Broad Group]]&lt;&gt;"",Table1[[#This Row],[Broad Group]],I598)))</f>
        <v>29-2050</v>
      </c>
      <c r="J5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Occupation]],J598))))</f>
        <v>29-2056</v>
      </c>
      <c r="K599" s="2" t="str">
        <f>Table1[[#This Row],[Group Name]]</f>
        <v>Veterinary Technologists and Technicians</v>
      </c>
    </row>
    <row r="600" spans="3:11" x14ac:dyDescent="0.25">
      <c r="D600" s="5" t="s">
        <v>1101</v>
      </c>
      <c r="E600" s="5" t="s">
        <v>1102</v>
      </c>
      <c r="F6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00" s="2" t="str">
        <f>IF(Table1[[#This Row],[Type]]="Major",Table1[[#This Row],[Major Group]],G599)</f>
        <v>29-0000</v>
      </c>
      <c r="H600" s="2" t="str">
        <f>IF(Table1[[#This Row],[Major Group]]&lt;&gt;"","n/a",IF(Table1[[#This Row],[Minor Group]]&lt;&gt;"",Table1[[#This Row],[Minor Group]],H599))</f>
        <v>29-2000</v>
      </c>
      <c r="I600" s="2" t="str">
        <f>IF(Table1[[#This Row],[Major Group]]&lt;&gt;"","n/a",IF(Table1[[#This Row],[Minor Group]]&lt;&gt;"","n/a",IF(Table1[[#This Row],[Broad Group]]&lt;&gt;"",Table1[[#This Row],[Broad Group]],I599)))</f>
        <v>29-2050</v>
      </c>
      <c r="J6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Occupation]],J599))))</f>
        <v>29-2057</v>
      </c>
      <c r="K600" s="2" t="str">
        <f>Table1[[#This Row],[Group Name]]</f>
        <v>Ophthalmic Medical Technicians</v>
      </c>
    </row>
    <row r="601" spans="3:11" ht="30" x14ac:dyDescent="0.25">
      <c r="C601" s="1" t="s">
        <v>1103</v>
      </c>
      <c r="E601" s="1" t="s">
        <v>1104</v>
      </c>
      <c r="F6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01" s="2" t="str">
        <f>IF(Table1[[#This Row],[Type]]="Major",Table1[[#This Row],[Major Group]],G600)</f>
        <v>29-0000</v>
      </c>
      <c r="H601" s="2" t="str">
        <f>IF(Table1[[#This Row],[Major Group]]&lt;&gt;"","n/a",IF(Table1[[#This Row],[Minor Group]]&lt;&gt;"",Table1[[#This Row],[Minor Group]],H600))</f>
        <v>29-2000</v>
      </c>
      <c r="I601" s="2" t="str">
        <f>IF(Table1[[#This Row],[Major Group]]&lt;&gt;"","n/a",IF(Table1[[#This Row],[Minor Group]]&lt;&gt;"","n/a",IF(Table1[[#This Row],[Broad Group]]&lt;&gt;"",Table1[[#This Row],[Broad Group]],I600)))</f>
        <v>29-2060</v>
      </c>
      <c r="J6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Occupation]],J600))))</f>
        <v>n/a</v>
      </c>
      <c r="K601" s="2" t="str">
        <f>Table1[[#This Row],[Group Name]]</f>
        <v>Licensed Practical and Licensed Vocational Nurses</v>
      </c>
    </row>
    <row r="602" spans="3:11" ht="25.5" x14ac:dyDescent="0.25">
      <c r="D602" s="5" t="s">
        <v>1105</v>
      </c>
      <c r="E602" s="5" t="s">
        <v>1104</v>
      </c>
      <c r="F6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02" s="2" t="str">
        <f>IF(Table1[[#This Row],[Type]]="Major",Table1[[#This Row],[Major Group]],G601)</f>
        <v>29-0000</v>
      </c>
      <c r="H602" s="2" t="str">
        <f>IF(Table1[[#This Row],[Major Group]]&lt;&gt;"","n/a",IF(Table1[[#This Row],[Minor Group]]&lt;&gt;"",Table1[[#This Row],[Minor Group]],H601))</f>
        <v>29-2000</v>
      </c>
      <c r="I602" s="2" t="str">
        <f>IF(Table1[[#This Row],[Major Group]]&lt;&gt;"","n/a",IF(Table1[[#This Row],[Minor Group]]&lt;&gt;"","n/a",IF(Table1[[#This Row],[Broad Group]]&lt;&gt;"",Table1[[#This Row],[Broad Group]],I601)))</f>
        <v>29-2060</v>
      </c>
      <c r="J6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Occupation]],J601))))</f>
        <v>29-2061</v>
      </c>
      <c r="K602" s="2" t="str">
        <f>Table1[[#This Row],[Group Name]]</f>
        <v>Licensed Practical and Licensed Vocational Nurses</v>
      </c>
    </row>
    <row r="603" spans="3:11" x14ac:dyDescent="0.25">
      <c r="C603" s="1" t="s">
        <v>1106</v>
      </c>
      <c r="E603" s="1" t="s">
        <v>1107</v>
      </c>
      <c r="F6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03" s="2" t="str">
        <f>IF(Table1[[#This Row],[Type]]="Major",Table1[[#This Row],[Major Group]],G602)</f>
        <v>29-0000</v>
      </c>
      <c r="H603" s="2" t="str">
        <f>IF(Table1[[#This Row],[Major Group]]&lt;&gt;"","n/a",IF(Table1[[#This Row],[Minor Group]]&lt;&gt;"",Table1[[#This Row],[Minor Group]],H602))</f>
        <v>29-2000</v>
      </c>
      <c r="I603" s="2" t="str">
        <f>IF(Table1[[#This Row],[Major Group]]&lt;&gt;"","n/a",IF(Table1[[#This Row],[Minor Group]]&lt;&gt;"","n/a",IF(Table1[[#This Row],[Broad Group]]&lt;&gt;"",Table1[[#This Row],[Broad Group]],I602)))</f>
        <v>29-2070</v>
      </c>
      <c r="J6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Occupation]],J602))))</f>
        <v>n/a</v>
      </c>
      <c r="K603" s="2" t="str">
        <f>Table1[[#This Row],[Group Name]]</f>
        <v>Medical Records Specialists</v>
      </c>
    </row>
    <row r="604" spans="3:11" x14ac:dyDescent="0.25">
      <c r="D604" s="5" t="s">
        <v>1108</v>
      </c>
      <c r="E604" s="5" t="s">
        <v>1107</v>
      </c>
      <c r="F6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04" s="2" t="str">
        <f>IF(Table1[[#This Row],[Type]]="Major",Table1[[#This Row],[Major Group]],G603)</f>
        <v>29-0000</v>
      </c>
      <c r="H604" s="2" t="str">
        <f>IF(Table1[[#This Row],[Major Group]]&lt;&gt;"","n/a",IF(Table1[[#This Row],[Minor Group]]&lt;&gt;"",Table1[[#This Row],[Minor Group]],H603))</f>
        <v>29-2000</v>
      </c>
      <c r="I604" s="2" t="str">
        <f>IF(Table1[[#This Row],[Major Group]]&lt;&gt;"","n/a",IF(Table1[[#This Row],[Minor Group]]&lt;&gt;"","n/a",IF(Table1[[#This Row],[Broad Group]]&lt;&gt;"",Table1[[#This Row],[Broad Group]],I603)))</f>
        <v>29-2070</v>
      </c>
      <c r="J6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Occupation]],J603))))</f>
        <v>29-2072</v>
      </c>
      <c r="K604" s="2" t="str">
        <f>Table1[[#This Row],[Group Name]]</f>
        <v>Medical Records Specialists</v>
      </c>
    </row>
    <row r="605" spans="3:11" x14ac:dyDescent="0.25">
      <c r="C605" s="1" t="s">
        <v>1109</v>
      </c>
      <c r="E605" s="1" t="s">
        <v>1110</v>
      </c>
      <c r="F6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05" s="2" t="str">
        <f>IF(Table1[[#This Row],[Type]]="Major",Table1[[#This Row],[Major Group]],G604)</f>
        <v>29-0000</v>
      </c>
      <c r="H605" s="2" t="str">
        <f>IF(Table1[[#This Row],[Major Group]]&lt;&gt;"","n/a",IF(Table1[[#This Row],[Minor Group]]&lt;&gt;"",Table1[[#This Row],[Minor Group]],H604))</f>
        <v>29-2000</v>
      </c>
      <c r="I605" s="2" t="str">
        <f>IF(Table1[[#This Row],[Major Group]]&lt;&gt;"","n/a",IF(Table1[[#This Row],[Minor Group]]&lt;&gt;"","n/a",IF(Table1[[#This Row],[Broad Group]]&lt;&gt;"",Table1[[#This Row],[Broad Group]],I604)))</f>
        <v>29-2080</v>
      </c>
      <c r="J6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Occupation]],J604))))</f>
        <v>n/a</v>
      </c>
      <c r="K605" s="2" t="str">
        <f>Table1[[#This Row],[Group Name]]</f>
        <v>Opticians, Dispensing</v>
      </c>
    </row>
    <row r="606" spans="3:11" x14ac:dyDescent="0.25">
      <c r="D606" s="5" t="s">
        <v>1111</v>
      </c>
      <c r="E606" s="5" t="s">
        <v>1110</v>
      </c>
      <c r="F6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06" s="2" t="str">
        <f>IF(Table1[[#This Row],[Type]]="Major",Table1[[#This Row],[Major Group]],G605)</f>
        <v>29-0000</v>
      </c>
      <c r="H606" s="2" t="str">
        <f>IF(Table1[[#This Row],[Major Group]]&lt;&gt;"","n/a",IF(Table1[[#This Row],[Minor Group]]&lt;&gt;"",Table1[[#This Row],[Minor Group]],H605))</f>
        <v>29-2000</v>
      </c>
      <c r="I606" s="2" t="str">
        <f>IF(Table1[[#This Row],[Major Group]]&lt;&gt;"","n/a",IF(Table1[[#This Row],[Minor Group]]&lt;&gt;"","n/a",IF(Table1[[#This Row],[Broad Group]]&lt;&gt;"",Table1[[#This Row],[Broad Group]],I605)))</f>
        <v>29-2080</v>
      </c>
      <c r="J6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Occupation]],J605))))</f>
        <v>29-2081</v>
      </c>
      <c r="K606" s="2" t="str">
        <f>Table1[[#This Row],[Group Name]]</f>
        <v>Opticians, Dispensing</v>
      </c>
    </row>
    <row r="607" spans="3:11" ht="30" x14ac:dyDescent="0.25">
      <c r="C607" s="1" t="s">
        <v>1112</v>
      </c>
      <c r="E607" s="1" t="s">
        <v>1113</v>
      </c>
      <c r="F6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07" s="2" t="str">
        <f>IF(Table1[[#This Row],[Type]]="Major",Table1[[#This Row],[Major Group]],G606)</f>
        <v>29-0000</v>
      </c>
      <c r="H607" s="2" t="str">
        <f>IF(Table1[[#This Row],[Major Group]]&lt;&gt;"","n/a",IF(Table1[[#This Row],[Minor Group]]&lt;&gt;"",Table1[[#This Row],[Minor Group]],H606))</f>
        <v>29-2000</v>
      </c>
      <c r="I607" s="2" t="str">
        <f>IF(Table1[[#This Row],[Major Group]]&lt;&gt;"","n/a",IF(Table1[[#This Row],[Minor Group]]&lt;&gt;"","n/a",IF(Table1[[#This Row],[Broad Group]]&lt;&gt;"",Table1[[#This Row],[Broad Group]],I606)))</f>
        <v>29-2090</v>
      </c>
      <c r="J6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Occupation]],J606))))</f>
        <v>n/a</v>
      </c>
      <c r="K607" s="2" t="str">
        <f>Table1[[#This Row],[Group Name]]</f>
        <v>Miscellaneous Health Technologists and Technicians</v>
      </c>
    </row>
    <row r="608" spans="3:11" x14ac:dyDescent="0.25">
      <c r="D608" s="5" t="s">
        <v>1114</v>
      </c>
      <c r="E608" s="5" t="s">
        <v>1115</v>
      </c>
      <c r="F6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08" s="2" t="str">
        <f>IF(Table1[[#This Row],[Type]]="Major",Table1[[#This Row],[Major Group]],G607)</f>
        <v>29-0000</v>
      </c>
      <c r="H608" s="2" t="str">
        <f>IF(Table1[[#This Row],[Major Group]]&lt;&gt;"","n/a",IF(Table1[[#This Row],[Minor Group]]&lt;&gt;"",Table1[[#This Row],[Minor Group]],H607))</f>
        <v>29-2000</v>
      </c>
      <c r="I608" s="2" t="str">
        <f>IF(Table1[[#This Row],[Major Group]]&lt;&gt;"","n/a",IF(Table1[[#This Row],[Minor Group]]&lt;&gt;"","n/a",IF(Table1[[#This Row],[Broad Group]]&lt;&gt;"",Table1[[#This Row],[Broad Group]],I607)))</f>
        <v>29-2090</v>
      </c>
      <c r="J6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Occupation]],J607))))</f>
        <v>29-2091</v>
      </c>
      <c r="K608" s="2" t="str">
        <f>Table1[[#This Row],[Group Name]]</f>
        <v>Orthotists and Prosthetists</v>
      </c>
    </row>
    <row r="609" spans="1:11" x14ac:dyDescent="0.25">
      <c r="D609" s="5" t="s">
        <v>1116</v>
      </c>
      <c r="E609" s="5" t="s">
        <v>1117</v>
      </c>
      <c r="F6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09" s="2" t="str">
        <f>IF(Table1[[#This Row],[Type]]="Major",Table1[[#This Row],[Major Group]],G608)</f>
        <v>29-0000</v>
      </c>
      <c r="H609" s="2" t="str">
        <f>IF(Table1[[#This Row],[Major Group]]&lt;&gt;"","n/a",IF(Table1[[#This Row],[Minor Group]]&lt;&gt;"",Table1[[#This Row],[Minor Group]],H608))</f>
        <v>29-2000</v>
      </c>
      <c r="I609" s="2" t="str">
        <f>IF(Table1[[#This Row],[Major Group]]&lt;&gt;"","n/a",IF(Table1[[#This Row],[Minor Group]]&lt;&gt;"","n/a",IF(Table1[[#This Row],[Broad Group]]&lt;&gt;"",Table1[[#This Row],[Broad Group]],I608)))</f>
        <v>29-2090</v>
      </c>
      <c r="J6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Occupation]],J608))))</f>
        <v>29-2092</v>
      </c>
      <c r="K609" s="2" t="str">
        <f>Table1[[#This Row],[Group Name]]</f>
        <v>Hearing Aid Specialists</v>
      </c>
    </row>
    <row r="610" spans="1:11" ht="25.5" x14ac:dyDescent="0.25">
      <c r="D610" s="5" t="s">
        <v>1118</v>
      </c>
      <c r="E610" s="5" t="s">
        <v>1119</v>
      </c>
      <c r="F6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10" s="2" t="str">
        <f>IF(Table1[[#This Row],[Type]]="Major",Table1[[#This Row],[Major Group]],G609)</f>
        <v>29-0000</v>
      </c>
      <c r="H610" s="2" t="str">
        <f>IF(Table1[[#This Row],[Major Group]]&lt;&gt;"","n/a",IF(Table1[[#This Row],[Minor Group]]&lt;&gt;"",Table1[[#This Row],[Minor Group]],H609))</f>
        <v>29-2000</v>
      </c>
      <c r="I610" s="2" t="str">
        <f>IF(Table1[[#This Row],[Major Group]]&lt;&gt;"","n/a",IF(Table1[[#This Row],[Minor Group]]&lt;&gt;"","n/a",IF(Table1[[#This Row],[Broad Group]]&lt;&gt;"",Table1[[#This Row],[Broad Group]],I609)))</f>
        <v>29-2090</v>
      </c>
      <c r="J6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Occupation]],J609))))</f>
        <v>29-2099</v>
      </c>
      <c r="K610" s="2" t="str">
        <f>Table1[[#This Row],[Group Name]]</f>
        <v>Health Technologists and Technicians, All Other</v>
      </c>
    </row>
    <row r="611" spans="1:11" x14ac:dyDescent="0.25">
      <c r="B611" s="3" t="s">
        <v>1120</v>
      </c>
      <c r="E611" s="3" t="s">
        <v>1121</v>
      </c>
      <c r="F6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11" s="2" t="str">
        <f>IF(Table1[[#This Row],[Type]]="Major",Table1[[#This Row],[Major Group]],G610)</f>
        <v>29-0000</v>
      </c>
      <c r="H611" s="2" t="str">
        <f>IF(Table1[[#This Row],[Major Group]]&lt;&gt;"","n/a",IF(Table1[[#This Row],[Minor Group]]&lt;&gt;"",Table1[[#This Row],[Minor Group]],H610))</f>
        <v>29-9000</v>
      </c>
      <c r="I611" s="2" t="str">
        <f>IF(Table1[[#This Row],[Major Group]]&lt;&gt;"","n/a",IF(Table1[[#This Row],[Minor Group]]&lt;&gt;"","n/a",IF(Table1[[#This Row],[Broad Group]]&lt;&gt;"",Table1[[#This Row],[Broad Group]],I610)))</f>
        <v>n/a</v>
      </c>
      <c r="J6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Occupation]],J610))))</f>
        <v>n/a</v>
      </c>
      <c r="K611" s="2" t="str">
        <f>Table1[[#This Row],[Group Name]]</f>
        <v>Other Healthcare Practitioners and Technical Occupations</v>
      </c>
    </row>
    <row r="612" spans="1:11" ht="30" x14ac:dyDescent="0.25">
      <c r="C612" s="1" t="s">
        <v>1122</v>
      </c>
      <c r="E612" s="1" t="s">
        <v>1123</v>
      </c>
      <c r="F6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12" s="2" t="str">
        <f>IF(Table1[[#This Row],[Type]]="Major",Table1[[#This Row],[Major Group]],G611)</f>
        <v>29-0000</v>
      </c>
      <c r="H612" s="2" t="str">
        <f>IF(Table1[[#This Row],[Major Group]]&lt;&gt;"","n/a",IF(Table1[[#This Row],[Minor Group]]&lt;&gt;"",Table1[[#This Row],[Minor Group]],H611))</f>
        <v>29-9000</v>
      </c>
      <c r="I612" s="2" t="str">
        <f>IF(Table1[[#This Row],[Major Group]]&lt;&gt;"","n/a",IF(Table1[[#This Row],[Minor Group]]&lt;&gt;"","n/a",IF(Table1[[#This Row],[Broad Group]]&lt;&gt;"",Table1[[#This Row],[Broad Group]],I611)))</f>
        <v>29-9020</v>
      </c>
      <c r="J6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Occupation]],J611))))</f>
        <v>n/a</v>
      </c>
      <c r="K612" s="2" t="str">
        <f>Table1[[#This Row],[Group Name]]</f>
        <v>Health Information Technologists and Medical Registrars</v>
      </c>
    </row>
    <row r="613" spans="1:11" ht="25.5" x14ac:dyDescent="0.25">
      <c r="D613" s="5" t="s">
        <v>1124</v>
      </c>
      <c r="E613" s="5" t="s">
        <v>1123</v>
      </c>
      <c r="F6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13" s="2" t="str">
        <f>IF(Table1[[#This Row],[Type]]="Major",Table1[[#This Row],[Major Group]],G612)</f>
        <v>29-0000</v>
      </c>
      <c r="H613" s="2" t="str">
        <f>IF(Table1[[#This Row],[Major Group]]&lt;&gt;"","n/a",IF(Table1[[#This Row],[Minor Group]]&lt;&gt;"",Table1[[#This Row],[Minor Group]],H612))</f>
        <v>29-9000</v>
      </c>
      <c r="I613" s="2" t="str">
        <f>IF(Table1[[#This Row],[Major Group]]&lt;&gt;"","n/a",IF(Table1[[#This Row],[Minor Group]]&lt;&gt;"","n/a",IF(Table1[[#This Row],[Broad Group]]&lt;&gt;"",Table1[[#This Row],[Broad Group]],I612)))</f>
        <v>29-9020</v>
      </c>
      <c r="J6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Occupation]],J612))))</f>
        <v>29-9021</v>
      </c>
      <c r="K613" s="2" t="str">
        <f>Table1[[#This Row],[Group Name]]</f>
        <v>Health Information Technologists and Medical Registrars</v>
      </c>
    </row>
    <row r="614" spans="1:11" ht="45" x14ac:dyDescent="0.25">
      <c r="C614" s="1" t="s">
        <v>1125</v>
      </c>
      <c r="E614" s="1" t="s">
        <v>1126</v>
      </c>
      <c r="F6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14" s="2" t="str">
        <f>IF(Table1[[#This Row],[Type]]="Major",Table1[[#This Row],[Major Group]],G613)</f>
        <v>29-0000</v>
      </c>
      <c r="H614" s="2" t="str">
        <f>IF(Table1[[#This Row],[Major Group]]&lt;&gt;"","n/a",IF(Table1[[#This Row],[Minor Group]]&lt;&gt;"",Table1[[#This Row],[Minor Group]],H613))</f>
        <v>29-9000</v>
      </c>
      <c r="I614" s="2" t="str">
        <f>IF(Table1[[#This Row],[Major Group]]&lt;&gt;"","n/a",IF(Table1[[#This Row],[Minor Group]]&lt;&gt;"","n/a",IF(Table1[[#This Row],[Broad Group]]&lt;&gt;"",Table1[[#This Row],[Broad Group]],I613)))</f>
        <v>29-9090</v>
      </c>
      <c r="J6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Occupation]],J613))))</f>
        <v>n/a</v>
      </c>
      <c r="K614" s="2" t="str">
        <f>Table1[[#This Row],[Group Name]]</f>
        <v>Miscellaneous Health Practitioners and Technical Workers</v>
      </c>
    </row>
    <row r="615" spans="1:11" x14ac:dyDescent="0.25">
      <c r="D615" s="5" t="s">
        <v>1127</v>
      </c>
      <c r="E615" s="5" t="s">
        <v>1128</v>
      </c>
      <c r="F6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15" s="2" t="str">
        <f>IF(Table1[[#This Row],[Type]]="Major",Table1[[#This Row],[Major Group]],G614)</f>
        <v>29-0000</v>
      </c>
      <c r="H615" s="2" t="str">
        <f>IF(Table1[[#This Row],[Major Group]]&lt;&gt;"","n/a",IF(Table1[[#This Row],[Minor Group]]&lt;&gt;"",Table1[[#This Row],[Minor Group]],H614))</f>
        <v>29-9000</v>
      </c>
      <c r="I615" s="2" t="str">
        <f>IF(Table1[[#This Row],[Major Group]]&lt;&gt;"","n/a",IF(Table1[[#This Row],[Minor Group]]&lt;&gt;"","n/a",IF(Table1[[#This Row],[Broad Group]]&lt;&gt;"",Table1[[#This Row],[Broad Group]],I614)))</f>
        <v>29-9090</v>
      </c>
      <c r="J6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Occupation]],J614))))</f>
        <v>29-9091</v>
      </c>
      <c r="K615" s="2" t="str">
        <f>Table1[[#This Row],[Group Name]]</f>
        <v>Athletic Trainers</v>
      </c>
    </row>
    <row r="616" spans="1:11" x14ac:dyDescent="0.25">
      <c r="D616" s="5" t="s">
        <v>1129</v>
      </c>
      <c r="E616" s="5" t="s">
        <v>1130</v>
      </c>
      <c r="F6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16" s="2" t="str">
        <f>IF(Table1[[#This Row],[Type]]="Major",Table1[[#This Row],[Major Group]],G615)</f>
        <v>29-0000</v>
      </c>
      <c r="H616" s="2" t="str">
        <f>IF(Table1[[#This Row],[Major Group]]&lt;&gt;"","n/a",IF(Table1[[#This Row],[Minor Group]]&lt;&gt;"",Table1[[#This Row],[Minor Group]],H615))</f>
        <v>29-9000</v>
      </c>
      <c r="I616" s="2" t="str">
        <f>IF(Table1[[#This Row],[Major Group]]&lt;&gt;"","n/a",IF(Table1[[#This Row],[Minor Group]]&lt;&gt;"","n/a",IF(Table1[[#This Row],[Broad Group]]&lt;&gt;"",Table1[[#This Row],[Broad Group]],I615)))</f>
        <v>29-9090</v>
      </c>
      <c r="J6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Occupation]],J615))))</f>
        <v>29-9092</v>
      </c>
      <c r="K616" s="2" t="str">
        <f>Table1[[#This Row],[Group Name]]</f>
        <v>Genetic Counselors</v>
      </c>
    </row>
    <row r="617" spans="1:11" x14ac:dyDescent="0.25">
      <c r="D617" s="5" t="s">
        <v>1131</v>
      </c>
      <c r="E617" s="5" t="s">
        <v>1132</v>
      </c>
      <c r="F6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17" s="2" t="str">
        <f>IF(Table1[[#This Row],[Type]]="Major",Table1[[#This Row],[Major Group]],G616)</f>
        <v>29-0000</v>
      </c>
      <c r="H617" s="2" t="str">
        <f>IF(Table1[[#This Row],[Major Group]]&lt;&gt;"","n/a",IF(Table1[[#This Row],[Minor Group]]&lt;&gt;"",Table1[[#This Row],[Minor Group]],H616))</f>
        <v>29-9000</v>
      </c>
      <c r="I617" s="2" t="str">
        <f>IF(Table1[[#This Row],[Major Group]]&lt;&gt;"","n/a",IF(Table1[[#This Row],[Minor Group]]&lt;&gt;"","n/a",IF(Table1[[#This Row],[Broad Group]]&lt;&gt;"",Table1[[#This Row],[Broad Group]],I616)))</f>
        <v>29-9090</v>
      </c>
      <c r="J6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Occupation]],J616))))</f>
        <v>29-9093</v>
      </c>
      <c r="K617" s="2" t="str">
        <f>Table1[[#This Row],[Group Name]]</f>
        <v>Surgical Assistants</v>
      </c>
    </row>
    <row r="618" spans="1:11" ht="25.5" x14ac:dyDescent="0.25">
      <c r="D618" s="5" t="s">
        <v>1133</v>
      </c>
      <c r="E618" s="5" t="s">
        <v>1134</v>
      </c>
      <c r="F6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18" s="2" t="str">
        <f>IF(Table1[[#This Row],[Type]]="Major",Table1[[#This Row],[Major Group]],G617)</f>
        <v>29-0000</v>
      </c>
      <c r="H618" s="2" t="str">
        <f>IF(Table1[[#This Row],[Major Group]]&lt;&gt;"","n/a",IF(Table1[[#This Row],[Minor Group]]&lt;&gt;"",Table1[[#This Row],[Minor Group]],H617))</f>
        <v>29-9000</v>
      </c>
      <c r="I618" s="2" t="str">
        <f>IF(Table1[[#This Row],[Major Group]]&lt;&gt;"","n/a",IF(Table1[[#This Row],[Minor Group]]&lt;&gt;"","n/a",IF(Table1[[#This Row],[Broad Group]]&lt;&gt;"",Table1[[#This Row],[Broad Group]],I617)))</f>
        <v>29-9090</v>
      </c>
      <c r="J6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Occupation]],J617))))</f>
        <v>29-9099</v>
      </c>
      <c r="K618" s="2" t="str">
        <f>Table1[[#This Row],[Group Name]]</f>
        <v>Healthcare Practitioners and Technical Workers, All Other</v>
      </c>
    </row>
    <row r="619" spans="1:11" ht="15.75" x14ac:dyDescent="0.25">
      <c r="A619" s="4" t="s">
        <v>1135</v>
      </c>
      <c r="E619" s="4" t="s">
        <v>1136</v>
      </c>
      <c r="F6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619" s="2" t="str">
        <f>IF(Table1[[#This Row],[Type]]="Major",Table1[[#This Row],[Major Group]],G618)</f>
        <v>31-0000</v>
      </c>
      <c r="H619" s="2" t="str">
        <f>IF(Table1[[#This Row],[Major Group]]&lt;&gt;"","n/a",IF(Table1[[#This Row],[Minor Group]]&lt;&gt;"",Table1[[#This Row],[Minor Group]],H618))</f>
        <v>n/a</v>
      </c>
      <c r="I619" s="2" t="str">
        <f>IF(Table1[[#This Row],[Major Group]]&lt;&gt;"","n/a",IF(Table1[[#This Row],[Minor Group]]&lt;&gt;"","n/a",IF(Table1[[#This Row],[Broad Group]]&lt;&gt;"",Table1[[#This Row],[Broad Group]],I618)))</f>
        <v>n/a</v>
      </c>
      <c r="J6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Occupation]],J618))))</f>
        <v>n/a</v>
      </c>
      <c r="K619" s="2" t="str">
        <f>Table1[[#This Row],[Group Name]]</f>
        <v>Healthcare Support Occupations</v>
      </c>
    </row>
    <row r="620" spans="1:11" x14ac:dyDescent="0.25">
      <c r="B620" s="3" t="s">
        <v>1137</v>
      </c>
      <c r="E620" s="3" t="s">
        <v>1138</v>
      </c>
      <c r="F6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20" s="2" t="str">
        <f>IF(Table1[[#This Row],[Type]]="Major",Table1[[#This Row],[Major Group]],G619)</f>
        <v>31-0000</v>
      </c>
      <c r="H620" s="2" t="str">
        <f>IF(Table1[[#This Row],[Major Group]]&lt;&gt;"","n/a",IF(Table1[[#This Row],[Minor Group]]&lt;&gt;"",Table1[[#This Row],[Minor Group]],H619))</f>
        <v>31-1100</v>
      </c>
      <c r="I620" s="2" t="str">
        <f>IF(Table1[[#This Row],[Major Group]]&lt;&gt;"","n/a",IF(Table1[[#This Row],[Minor Group]]&lt;&gt;"","n/a",IF(Table1[[#This Row],[Broad Group]]&lt;&gt;"",Table1[[#This Row],[Broad Group]],I619)))</f>
        <v>n/a</v>
      </c>
      <c r="J6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Occupation]],J619))))</f>
        <v>n/a</v>
      </c>
      <c r="K620" s="2" t="str">
        <f>Table1[[#This Row],[Group Name]]</f>
        <v>Home Health and Personal Care Aides; and Nursing Assistants, Orderlies, and Psychiatric Aides</v>
      </c>
    </row>
    <row r="621" spans="1:11" ht="30" x14ac:dyDescent="0.25">
      <c r="C621" s="1" t="s">
        <v>1139</v>
      </c>
      <c r="E621" s="1" t="s">
        <v>1140</v>
      </c>
      <c r="F6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21" s="2" t="str">
        <f>IF(Table1[[#This Row],[Type]]="Major",Table1[[#This Row],[Major Group]],G620)</f>
        <v>31-0000</v>
      </c>
      <c r="H621" s="2" t="str">
        <f>IF(Table1[[#This Row],[Major Group]]&lt;&gt;"","n/a",IF(Table1[[#This Row],[Minor Group]]&lt;&gt;"",Table1[[#This Row],[Minor Group]],H620))</f>
        <v>31-1100</v>
      </c>
      <c r="I621" s="2" t="str">
        <f>IF(Table1[[#This Row],[Major Group]]&lt;&gt;"","n/a",IF(Table1[[#This Row],[Minor Group]]&lt;&gt;"","n/a",IF(Table1[[#This Row],[Broad Group]]&lt;&gt;"",Table1[[#This Row],[Broad Group]],I620)))</f>
        <v>31-1120</v>
      </c>
      <c r="J6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Occupation]],J620))))</f>
        <v>n/a</v>
      </c>
      <c r="K621" s="2" t="str">
        <f>Table1[[#This Row],[Group Name]]</f>
        <v>Home Health and Personal Care Aides</v>
      </c>
    </row>
    <row r="622" spans="1:11" x14ac:dyDescent="0.25">
      <c r="D622" s="5" t="s">
        <v>1141</v>
      </c>
      <c r="E622" s="5" t="s">
        <v>1142</v>
      </c>
      <c r="F6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22" s="2" t="str">
        <f>IF(Table1[[#This Row],[Type]]="Major",Table1[[#This Row],[Major Group]],G621)</f>
        <v>31-0000</v>
      </c>
      <c r="H622" s="2" t="str">
        <f>IF(Table1[[#This Row],[Major Group]]&lt;&gt;"","n/a",IF(Table1[[#This Row],[Minor Group]]&lt;&gt;"",Table1[[#This Row],[Minor Group]],H621))</f>
        <v>31-1100</v>
      </c>
      <c r="I622" s="2" t="str">
        <f>IF(Table1[[#This Row],[Major Group]]&lt;&gt;"","n/a",IF(Table1[[#This Row],[Minor Group]]&lt;&gt;"","n/a",IF(Table1[[#This Row],[Broad Group]]&lt;&gt;"",Table1[[#This Row],[Broad Group]],I621)))</f>
        <v>31-1120</v>
      </c>
      <c r="J6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Occupation]],J621))))</f>
        <v>31-1121</v>
      </c>
      <c r="K622" s="2" t="str">
        <f>Table1[[#This Row],[Group Name]]</f>
        <v>Home Health Aides</v>
      </c>
    </row>
    <row r="623" spans="1:11" x14ac:dyDescent="0.25">
      <c r="D623" s="5" t="s">
        <v>1143</v>
      </c>
      <c r="E623" s="5" t="s">
        <v>1144</v>
      </c>
      <c r="F6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23" s="2" t="str">
        <f>IF(Table1[[#This Row],[Type]]="Major",Table1[[#This Row],[Major Group]],G622)</f>
        <v>31-0000</v>
      </c>
      <c r="H623" s="2" t="str">
        <f>IF(Table1[[#This Row],[Major Group]]&lt;&gt;"","n/a",IF(Table1[[#This Row],[Minor Group]]&lt;&gt;"",Table1[[#This Row],[Minor Group]],H622))</f>
        <v>31-1100</v>
      </c>
      <c r="I623" s="2" t="str">
        <f>IF(Table1[[#This Row],[Major Group]]&lt;&gt;"","n/a",IF(Table1[[#This Row],[Minor Group]]&lt;&gt;"","n/a",IF(Table1[[#This Row],[Broad Group]]&lt;&gt;"",Table1[[#This Row],[Broad Group]],I622)))</f>
        <v>31-1120</v>
      </c>
      <c r="J6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Occupation]],J622))))</f>
        <v>31-1122</v>
      </c>
      <c r="K623" s="2" t="str">
        <f>Table1[[#This Row],[Group Name]]</f>
        <v>Personal Care Aides</v>
      </c>
    </row>
    <row r="624" spans="1:11" ht="30" x14ac:dyDescent="0.25">
      <c r="C624" s="1" t="s">
        <v>1145</v>
      </c>
      <c r="E624" s="1" t="s">
        <v>1146</v>
      </c>
      <c r="F6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24" s="2" t="str">
        <f>IF(Table1[[#This Row],[Type]]="Major",Table1[[#This Row],[Major Group]],G623)</f>
        <v>31-0000</v>
      </c>
      <c r="H624" s="2" t="str">
        <f>IF(Table1[[#This Row],[Major Group]]&lt;&gt;"","n/a",IF(Table1[[#This Row],[Minor Group]]&lt;&gt;"",Table1[[#This Row],[Minor Group]],H623))</f>
        <v>31-1100</v>
      </c>
      <c r="I624" s="2" t="str">
        <f>IF(Table1[[#This Row],[Major Group]]&lt;&gt;"","n/a",IF(Table1[[#This Row],[Minor Group]]&lt;&gt;"","n/a",IF(Table1[[#This Row],[Broad Group]]&lt;&gt;"",Table1[[#This Row],[Broad Group]],I623)))</f>
        <v>31-1130</v>
      </c>
      <c r="J6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Occupation]],J623))))</f>
        <v>n/a</v>
      </c>
      <c r="K624" s="2" t="str">
        <f>Table1[[#This Row],[Group Name]]</f>
        <v>Nursing Assistants, Orderlies, and Psychiatric Aides</v>
      </c>
    </row>
    <row r="625" spans="2:11" x14ac:dyDescent="0.25">
      <c r="D625" s="5" t="s">
        <v>1147</v>
      </c>
      <c r="E625" s="5" t="s">
        <v>1148</v>
      </c>
      <c r="F6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25" s="2" t="str">
        <f>IF(Table1[[#This Row],[Type]]="Major",Table1[[#This Row],[Major Group]],G624)</f>
        <v>31-0000</v>
      </c>
      <c r="H625" s="2" t="str">
        <f>IF(Table1[[#This Row],[Major Group]]&lt;&gt;"","n/a",IF(Table1[[#This Row],[Minor Group]]&lt;&gt;"",Table1[[#This Row],[Minor Group]],H624))</f>
        <v>31-1100</v>
      </c>
      <c r="I625" s="2" t="str">
        <f>IF(Table1[[#This Row],[Major Group]]&lt;&gt;"","n/a",IF(Table1[[#This Row],[Minor Group]]&lt;&gt;"","n/a",IF(Table1[[#This Row],[Broad Group]]&lt;&gt;"",Table1[[#This Row],[Broad Group]],I624)))</f>
        <v>31-1130</v>
      </c>
      <c r="J6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Occupation]],J624))))</f>
        <v>31-1131</v>
      </c>
      <c r="K625" s="2" t="str">
        <f>Table1[[#This Row],[Group Name]]</f>
        <v>Nursing Assistants</v>
      </c>
    </row>
    <row r="626" spans="2:11" x14ac:dyDescent="0.25">
      <c r="D626" s="5" t="s">
        <v>1149</v>
      </c>
      <c r="E626" s="5" t="s">
        <v>1150</v>
      </c>
      <c r="F6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26" s="2" t="str">
        <f>IF(Table1[[#This Row],[Type]]="Major",Table1[[#This Row],[Major Group]],G625)</f>
        <v>31-0000</v>
      </c>
      <c r="H626" s="2" t="str">
        <f>IF(Table1[[#This Row],[Major Group]]&lt;&gt;"","n/a",IF(Table1[[#This Row],[Minor Group]]&lt;&gt;"",Table1[[#This Row],[Minor Group]],H625))</f>
        <v>31-1100</v>
      </c>
      <c r="I626" s="2" t="str">
        <f>IF(Table1[[#This Row],[Major Group]]&lt;&gt;"","n/a",IF(Table1[[#This Row],[Minor Group]]&lt;&gt;"","n/a",IF(Table1[[#This Row],[Broad Group]]&lt;&gt;"",Table1[[#This Row],[Broad Group]],I625)))</f>
        <v>31-1130</v>
      </c>
      <c r="J6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Occupation]],J625))))</f>
        <v>31-1132</v>
      </c>
      <c r="K626" s="2" t="str">
        <f>Table1[[#This Row],[Group Name]]</f>
        <v>Orderlies</v>
      </c>
    </row>
    <row r="627" spans="2:11" x14ac:dyDescent="0.25">
      <c r="D627" s="5" t="s">
        <v>1151</v>
      </c>
      <c r="E627" s="5" t="s">
        <v>1152</v>
      </c>
      <c r="F6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27" s="2" t="str">
        <f>IF(Table1[[#This Row],[Type]]="Major",Table1[[#This Row],[Major Group]],G626)</f>
        <v>31-0000</v>
      </c>
      <c r="H627" s="2" t="str">
        <f>IF(Table1[[#This Row],[Major Group]]&lt;&gt;"","n/a",IF(Table1[[#This Row],[Minor Group]]&lt;&gt;"",Table1[[#This Row],[Minor Group]],H626))</f>
        <v>31-1100</v>
      </c>
      <c r="I627" s="2" t="str">
        <f>IF(Table1[[#This Row],[Major Group]]&lt;&gt;"","n/a",IF(Table1[[#This Row],[Minor Group]]&lt;&gt;"","n/a",IF(Table1[[#This Row],[Broad Group]]&lt;&gt;"",Table1[[#This Row],[Broad Group]],I626)))</f>
        <v>31-1130</v>
      </c>
      <c r="J6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Occupation]],J626))))</f>
        <v>31-1133</v>
      </c>
      <c r="K627" s="2" t="str">
        <f>Table1[[#This Row],[Group Name]]</f>
        <v>Psychiatric Aides</v>
      </c>
    </row>
    <row r="628" spans="2:11" x14ac:dyDescent="0.25">
      <c r="B628" s="3" t="s">
        <v>1153</v>
      </c>
      <c r="E628" s="3" t="s">
        <v>1154</v>
      </c>
      <c r="F6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28" s="2" t="str">
        <f>IF(Table1[[#This Row],[Type]]="Major",Table1[[#This Row],[Major Group]],G627)</f>
        <v>31-0000</v>
      </c>
      <c r="H628" s="2" t="str">
        <f>IF(Table1[[#This Row],[Major Group]]&lt;&gt;"","n/a",IF(Table1[[#This Row],[Minor Group]]&lt;&gt;"",Table1[[#This Row],[Minor Group]],H627))</f>
        <v>31-2000</v>
      </c>
      <c r="I628" s="2" t="str">
        <f>IF(Table1[[#This Row],[Major Group]]&lt;&gt;"","n/a",IF(Table1[[#This Row],[Minor Group]]&lt;&gt;"","n/a",IF(Table1[[#This Row],[Broad Group]]&lt;&gt;"",Table1[[#This Row],[Broad Group]],I627)))</f>
        <v>n/a</v>
      </c>
      <c r="J6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Occupation]],J627))))</f>
        <v>n/a</v>
      </c>
      <c r="K628" s="2" t="str">
        <f>Table1[[#This Row],[Group Name]]</f>
        <v>Occupational Therapy and Physical Therapist Assistants and Aides</v>
      </c>
    </row>
    <row r="629" spans="2:11" ht="30" x14ac:dyDescent="0.25">
      <c r="C629" s="1" t="s">
        <v>1155</v>
      </c>
      <c r="E629" s="1" t="s">
        <v>1156</v>
      </c>
      <c r="F6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29" s="2" t="str">
        <f>IF(Table1[[#This Row],[Type]]="Major",Table1[[#This Row],[Major Group]],G628)</f>
        <v>31-0000</v>
      </c>
      <c r="H629" s="2" t="str">
        <f>IF(Table1[[#This Row],[Major Group]]&lt;&gt;"","n/a",IF(Table1[[#This Row],[Minor Group]]&lt;&gt;"",Table1[[#This Row],[Minor Group]],H628))</f>
        <v>31-2000</v>
      </c>
      <c r="I629" s="2" t="str">
        <f>IF(Table1[[#This Row],[Major Group]]&lt;&gt;"","n/a",IF(Table1[[#This Row],[Minor Group]]&lt;&gt;"","n/a",IF(Table1[[#This Row],[Broad Group]]&lt;&gt;"",Table1[[#This Row],[Broad Group]],I628)))</f>
        <v>31-2010</v>
      </c>
      <c r="J6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Occupation]],J628))))</f>
        <v>n/a</v>
      </c>
      <c r="K629" s="2" t="str">
        <f>Table1[[#This Row],[Group Name]]</f>
        <v>Occupational Therapy Assistants and Aides</v>
      </c>
    </row>
    <row r="630" spans="2:11" x14ac:dyDescent="0.25">
      <c r="D630" s="5" t="s">
        <v>1157</v>
      </c>
      <c r="E630" s="5" t="s">
        <v>1158</v>
      </c>
      <c r="F6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30" s="2" t="str">
        <f>IF(Table1[[#This Row],[Type]]="Major",Table1[[#This Row],[Major Group]],G629)</f>
        <v>31-0000</v>
      </c>
      <c r="H630" s="2" t="str">
        <f>IF(Table1[[#This Row],[Major Group]]&lt;&gt;"","n/a",IF(Table1[[#This Row],[Minor Group]]&lt;&gt;"",Table1[[#This Row],[Minor Group]],H629))</f>
        <v>31-2000</v>
      </c>
      <c r="I630" s="2" t="str">
        <f>IF(Table1[[#This Row],[Major Group]]&lt;&gt;"","n/a",IF(Table1[[#This Row],[Minor Group]]&lt;&gt;"","n/a",IF(Table1[[#This Row],[Broad Group]]&lt;&gt;"",Table1[[#This Row],[Broad Group]],I629)))</f>
        <v>31-2010</v>
      </c>
      <c r="J6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Occupation]],J629))))</f>
        <v>31-2011</v>
      </c>
      <c r="K630" s="2" t="str">
        <f>Table1[[#This Row],[Group Name]]</f>
        <v>Occupational Therapy Assistants</v>
      </c>
    </row>
    <row r="631" spans="2:11" x14ac:dyDescent="0.25">
      <c r="D631" s="5" t="s">
        <v>1159</v>
      </c>
      <c r="E631" s="5" t="s">
        <v>1160</v>
      </c>
      <c r="F6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31" s="2" t="str">
        <f>IF(Table1[[#This Row],[Type]]="Major",Table1[[#This Row],[Major Group]],G630)</f>
        <v>31-0000</v>
      </c>
      <c r="H631" s="2" t="str">
        <f>IF(Table1[[#This Row],[Major Group]]&lt;&gt;"","n/a",IF(Table1[[#This Row],[Minor Group]]&lt;&gt;"",Table1[[#This Row],[Minor Group]],H630))</f>
        <v>31-2000</v>
      </c>
      <c r="I631" s="2" t="str">
        <f>IF(Table1[[#This Row],[Major Group]]&lt;&gt;"","n/a",IF(Table1[[#This Row],[Minor Group]]&lt;&gt;"","n/a",IF(Table1[[#This Row],[Broad Group]]&lt;&gt;"",Table1[[#This Row],[Broad Group]],I630)))</f>
        <v>31-2010</v>
      </c>
      <c r="J6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Occupation]],J630))))</f>
        <v>31-2012</v>
      </c>
      <c r="K631" s="2" t="str">
        <f>Table1[[#This Row],[Group Name]]</f>
        <v>Occupational Therapy Aides</v>
      </c>
    </row>
    <row r="632" spans="2:11" ht="30" x14ac:dyDescent="0.25">
      <c r="C632" s="1" t="s">
        <v>1161</v>
      </c>
      <c r="E632" s="1" t="s">
        <v>1162</v>
      </c>
      <c r="F6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32" s="2" t="str">
        <f>IF(Table1[[#This Row],[Type]]="Major",Table1[[#This Row],[Major Group]],G631)</f>
        <v>31-0000</v>
      </c>
      <c r="H632" s="2" t="str">
        <f>IF(Table1[[#This Row],[Major Group]]&lt;&gt;"","n/a",IF(Table1[[#This Row],[Minor Group]]&lt;&gt;"",Table1[[#This Row],[Minor Group]],H631))</f>
        <v>31-2000</v>
      </c>
      <c r="I632" s="2" t="str">
        <f>IF(Table1[[#This Row],[Major Group]]&lt;&gt;"","n/a",IF(Table1[[#This Row],[Minor Group]]&lt;&gt;"","n/a",IF(Table1[[#This Row],[Broad Group]]&lt;&gt;"",Table1[[#This Row],[Broad Group]],I631)))</f>
        <v>31-2020</v>
      </c>
      <c r="J6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Occupation]],J631))))</f>
        <v>n/a</v>
      </c>
      <c r="K632" s="2" t="str">
        <f>Table1[[#This Row],[Group Name]]</f>
        <v>Physical Therapist Assistants and Aides</v>
      </c>
    </row>
    <row r="633" spans="2:11" x14ac:dyDescent="0.25">
      <c r="D633" s="5" t="s">
        <v>1163</v>
      </c>
      <c r="E633" s="5" t="s">
        <v>1164</v>
      </c>
      <c r="F6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33" s="2" t="str">
        <f>IF(Table1[[#This Row],[Type]]="Major",Table1[[#This Row],[Major Group]],G632)</f>
        <v>31-0000</v>
      </c>
      <c r="H633" s="2" t="str">
        <f>IF(Table1[[#This Row],[Major Group]]&lt;&gt;"","n/a",IF(Table1[[#This Row],[Minor Group]]&lt;&gt;"",Table1[[#This Row],[Minor Group]],H632))</f>
        <v>31-2000</v>
      </c>
      <c r="I633" s="2" t="str">
        <f>IF(Table1[[#This Row],[Major Group]]&lt;&gt;"","n/a",IF(Table1[[#This Row],[Minor Group]]&lt;&gt;"","n/a",IF(Table1[[#This Row],[Broad Group]]&lt;&gt;"",Table1[[#This Row],[Broad Group]],I632)))</f>
        <v>31-2020</v>
      </c>
      <c r="J6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Occupation]],J632))))</f>
        <v>31-2021</v>
      </c>
      <c r="K633" s="2" t="str">
        <f>Table1[[#This Row],[Group Name]]</f>
        <v>Physical Therapist Assistants</v>
      </c>
    </row>
    <row r="634" spans="2:11" x14ac:dyDescent="0.25">
      <c r="D634" s="5" t="s">
        <v>1165</v>
      </c>
      <c r="E634" s="5" t="s">
        <v>1166</v>
      </c>
      <c r="F6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34" s="2" t="str">
        <f>IF(Table1[[#This Row],[Type]]="Major",Table1[[#This Row],[Major Group]],G633)</f>
        <v>31-0000</v>
      </c>
      <c r="H634" s="2" t="str">
        <f>IF(Table1[[#This Row],[Major Group]]&lt;&gt;"","n/a",IF(Table1[[#This Row],[Minor Group]]&lt;&gt;"",Table1[[#This Row],[Minor Group]],H633))</f>
        <v>31-2000</v>
      </c>
      <c r="I634" s="2" t="str">
        <f>IF(Table1[[#This Row],[Major Group]]&lt;&gt;"","n/a",IF(Table1[[#This Row],[Minor Group]]&lt;&gt;"","n/a",IF(Table1[[#This Row],[Broad Group]]&lt;&gt;"",Table1[[#This Row],[Broad Group]],I633)))</f>
        <v>31-2020</v>
      </c>
      <c r="J6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Occupation]],J633))))</f>
        <v>31-2022</v>
      </c>
      <c r="K634" s="2" t="str">
        <f>Table1[[#This Row],[Group Name]]</f>
        <v>Physical Therapist Aides</v>
      </c>
    </row>
    <row r="635" spans="2:11" x14ac:dyDescent="0.25">
      <c r="B635" s="3" t="s">
        <v>1167</v>
      </c>
      <c r="E635" s="3" t="s">
        <v>1168</v>
      </c>
      <c r="F6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35" s="2" t="str">
        <f>IF(Table1[[#This Row],[Type]]="Major",Table1[[#This Row],[Major Group]],G634)</f>
        <v>31-0000</v>
      </c>
      <c r="H635" s="2" t="str">
        <f>IF(Table1[[#This Row],[Major Group]]&lt;&gt;"","n/a",IF(Table1[[#This Row],[Minor Group]]&lt;&gt;"",Table1[[#This Row],[Minor Group]],H634))</f>
        <v>31-9000</v>
      </c>
      <c r="I635" s="2" t="str">
        <f>IF(Table1[[#This Row],[Major Group]]&lt;&gt;"","n/a",IF(Table1[[#This Row],[Minor Group]]&lt;&gt;"","n/a",IF(Table1[[#This Row],[Broad Group]]&lt;&gt;"",Table1[[#This Row],[Broad Group]],I634)))</f>
        <v>n/a</v>
      </c>
      <c r="J6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Occupation]],J634))))</f>
        <v>n/a</v>
      </c>
      <c r="K635" s="2" t="str">
        <f>Table1[[#This Row],[Group Name]]</f>
        <v>Other Healthcare Support Occupations</v>
      </c>
    </row>
    <row r="636" spans="2:11" x14ac:dyDescent="0.25">
      <c r="C636" s="1" t="s">
        <v>1169</v>
      </c>
      <c r="E636" s="1" t="s">
        <v>1170</v>
      </c>
      <c r="F6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36" s="2" t="str">
        <f>IF(Table1[[#This Row],[Type]]="Major",Table1[[#This Row],[Major Group]],G635)</f>
        <v>31-0000</v>
      </c>
      <c r="H636" s="2" t="str">
        <f>IF(Table1[[#This Row],[Major Group]]&lt;&gt;"","n/a",IF(Table1[[#This Row],[Minor Group]]&lt;&gt;"",Table1[[#This Row],[Minor Group]],H635))</f>
        <v>31-9000</v>
      </c>
      <c r="I636" s="2" t="str">
        <f>IF(Table1[[#This Row],[Major Group]]&lt;&gt;"","n/a",IF(Table1[[#This Row],[Minor Group]]&lt;&gt;"","n/a",IF(Table1[[#This Row],[Broad Group]]&lt;&gt;"",Table1[[#This Row],[Broad Group]],I635)))</f>
        <v>31-9010</v>
      </c>
      <c r="J6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Occupation]],J635))))</f>
        <v>n/a</v>
      </c>
      <c r="K636" s="2" t="str">
        <f>Table1[[#This Row],[Group Name]]</f>
        <v>Massage Therapists</v>
      </c>
    </row>
    <row r="637" spans="2:11" x14ac:dyDescent="0.25">
      <c r="D637" s="5" t="s">
        <v>1171</v>
      </c>
      <c r="E637" s="5" t="s">
        <v>1170</v>
      </c>
      <c r="F6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37" s="2" t="str">
        <f>IF(Table1[[#This Row],[Type]]="Major",Table1[[#This Row],[Major Group]],G636)</f>
        <v>31-0000</v>
      </c>
      <c r="H637" s="2" t="str">
        <f>IF(Table1[[#This Row],[Major Group]]&lt;&gt;"","n/a",IF(Table1[[#This Row],[Minor Group]]&lt;&gt;"",Table1[[#This Row],[Minor Group]],H636))</f>
        <v>31-9000</v>
      </c>
      <c r="I637" s="2" t="str">
        <f>IF(Table1[[#This Row],[Major Group]]&lt;&gt;"","n/a",IF(Table1[[#This Row],[Minor Group]]&lt;&gt;"","n/a",IF(Table1[[#This Row],[Broad Group]]&lt;&gt;"",Table1[[#This Row],[Broad Group]],I636)))</f>
        <v>31-9010</v>
      </c>
      <c r="J6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Occupation]],J636))))</f>
        <v>31-9011</v>
      </c>
      <c r="K637" s="2" t="str">
        <f>Table1[[#This Row],[Group Name]]</f>
        <v>Massage Therapists</v>
      </c>
    </row>
    <row r="638" spans="2:11" ht="30" x14ac:dyDescent="0.25">
      <c r="C638" s="1" t="s">
        <v>1172</v>
      </c>
      <c r="E638" s="1" t="s">
        <v>1173</v>
      </c>
      <c r="F6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38" s="2" t="str">
        <f>IF(Table1[[#This Row],[Type]]="Major",Table1[[#This Row],[Major Group]],G637)</f>
        <v>31-0000</v>
      </c>
      <c r="H638" s="2" t="str">
        <f>IF(Table1[[#This Row],[Major Group]]&lt;&gt;"","n/a",IF(Table1[[#This Row],[Minor Group]]&lt;&gt;"",Table1[[#This Row],[Minor Group]],H637))</f>
        <v>31-9000</v>
      </c>
      <c r="I638" s="2" t="str">
        <f>IF(Table1[[#This Row],[Major Group]]&lt;&gt;"","n/a",IF(Table1[[#This Row],[Minor Group]]&lt;&gt;"","n/a",IF(Table1[[#This Row],[Broad Group]]&lt;&gt;"",Table1[[#This Row],[Broad Group]],I637)))</f>
        <v>31-9090</v>
      </c>
      <c r="J6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Occupation]],J637))))</f>
        <v>n/a</v>
      </c>
      <c r="K638" s="2" t="str">
        <f>Table1[[#This Row],[Group Name]]</f>
        <v>Miscellaneous Healthcare Support Occupations</v>
      </c>
    </row>
    <row r="639" spans="2:11" x14ac:dyDescent="0.25">
      <c r="D639" s="5" t="s">
        <v>1174</v>
      </c>
      <c r="E639" s="5" t="s">
        <v>1175</v>
      </c>
      <c r="F6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39" s="2" t="str">
        <f>IF(Table1[[#This Row],[Type]]="Major",Table1[[#This Row],[Major Group]],G638)</f>
        <v>31-0000</v>
      </c>
      <c r="H639" s="2" t="str">
        <f>IF(Table1[[#This Row],[Major Group]]&lt;&gt;"","n/a",IF(Table1[[#This Row],[Minor Group]]&lt;&gt;"",Table1[[#This Row],[Minor Group]],H638))</f>
        <v>31-9000</v>
      </c>
      <c r="I639" s="2" t="str">
        <f>IF(Table1[[#This Row],[Major Group]]&lt;&gt;"","n/a",IF(Table1[[#This Row],[Minor Group]]&lt;&gt;"","n/a",IF(Table1[[#This Row],[Broad Group]]&lt;&gt;"",Table1[[#This Row],[Broad Group]],I638)))</f>
        <v>31-9090</v>
      </c>
      <c r="J6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Occupation]],J638))))</f>
        <v>31-9091</v>
      </c>
      <c r="K639" s="2" t="str">
        <f>Table1[[#This Row],[Group Name]]</f>
        <v>Dental Assistants</v>
      </c>
    </row>
    <row r="640" spans="2:11" x14ac:dyDescent="0.25">
      <c r="D640" s="5" t="s">
        <v>1176</v>
      </c>
      <c r="E640" s="5" t="s">
        <v>1177</v>
      </c>
      <c r="F6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40" s="2" t="str">
        <f>IF(Table1[[#This Row],[Type]]="Major",Table1[[#This Row],[Major Group]],G639)</f>
        <v>31-0000</v>
      </c>
      <c r="H640" s="2" t="str">
        <f>IF(Table1[[#This Row],[Major Group]]&lt;&gt;"","n/a",IF(Table1[[#This Row],[Minor Group]]&lt;&gt;"",Table1[[#This Row],[Minor Group]],H639))</f>
        <v>31-9000</v>
      </c>
      <c r="I640" s="2" t="str">
        <f>IF(Table1[[#This Row],[Major Group]]&lt;&gt;"","n/a",IF(Table1[[#This Row],[Minor Group]]&lt;&gt;"","n/a",IF(Table1[[#This Row],[Broad Group]]&lt;&gt;"",Table1[[#This Row],[Broad Group]],I639)))</f>
        <v>31-9090</v>
      </c>
      <c r="J6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Occupation]],J639))))</f>
        <v>31-9092</v>
      </c>
      <c r="K640" s="2" t="str">
        <f>Table1[[#This Row],[Group Name]]</f>
        <v>Medical Assistants</v>
      </c>
    </row>
    <row r="641" spans="1:11" x14ac:dyDescent="0.25">
      <c r="D641" s="5" t="s">
        <v>1178</v>
      </c>
      <c r="E641" s="5" t="s">
        <v>1179</v>
      </c>
      <c r="F6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41" s="2" t="str">
        <f>IF(Table1[[#This Row],[Type]]="Major",Table1[[#This Row],[Major Group]],G640)</f>
        <v>31-0000</v>
      </c>
      <c r="H641" s="2" t="str">
        <f>IF(Table1[[#This Row],[Major Group]]&lt;&gt;"","n/a",IF(Table1[[#This Row],[Minor Group]]&lt;&gt;"",Table1[[#This Row],[Minor Group]],H640))</f>
        <v>31-9000</v>
      </c>
      <c r="I641" s="2" t="str">
        <f>IF(Table1[[#This Row],[Major Group]]&lt;&gt;"","n/a",IF(Table1[[#This Row],[Minor Group]]&lt;&gt;"","n/a",IF(Table1[[#This Row],[Broad Group]]&lt;&gt;"",Table1[[#This Row],[Broad Group]],I640)))</f>
        <v>31-9090</v>
      </c>
      <c r="J6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Occupation]],J640))))</f>
        <v>31-9093</v>
      </c>
      <c r="K641" s="2" t="str">
        <f>Table1[[#This Row],[Group Name]]</f>
        <v>Medical Equipment Preparers</v>
      </c>
    </row>
    <row r="642" spans="1:11" x14ac:dyDescent="0.25">
      <c r="D642" s="5" t="s">
        <v>1180</v>
      </c>
      <c r="E642" s="5" t="s">
        <v>1181</v>
      </c>
      <c r="F6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42" s="2" t="str">
        <f>IF(Table1[[#This Row],[Type]]="Major",Table1[[#This Row],[Major Group]],G641)</f>
        <v>31-0000</v>
      </c>
      <c r="H642" s="2" t="str">
        <f>IF(Table1[[#This Row],[Major Group]]&lt;&gt;"","n/a",IF(Table1[[#This Row],[Minor Group]]&lt;&gt;"",Table1[[#This Row],[Minor Group]],H641))</f>
        <v>31-9000</v>
      </c>
      <c r="I642" s="2" t="str">
        <f>IF(Table1[[#This Row],[Major Group]]&lt;&gt;"","n/a",IF(Table1[[#This Row],[Minor Group]]&lt;&gt;"","n/a",IF(Table1[[#This Row],[Broad Group]]&lt;&gt;"",Table1[[#This Row],[Broad Group]],I641)))</f>
        <v>31-9090</v>
      </c>
      <c r="J6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Occupation]],J641))))</f>
        <v>31-9094</v>
      </c>
      <c r="K642" s="2" t="str">
        <f>Table1[[#This Row],[Group Name]]</f>
        <v>Medical Transcriptionists</v>
      </c>
    </row>
    <row r="643" spans="1:11" x14ac:dyDescent="0.25">
      <c r="D643" s="5" t="s">
        <v>1182</v>
      </c>
      <c r="E643" s="5" t="s">
        <v>1183</v>
      </c>
      <c r="F6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43" s="2" t="str">
        <f>IF(Table1[[#This Row],[Type]]="Major",Table1[[#This Row],[Major Group]],G642)</f>
        <v>31-0000</v>
      </c>
      <c r="H643" s="2" t="str">
        <f>IF(Table1[[#This Row],[Major Group]]&lt;&gt;"","n/a",IF(Table1[[#This Row],[Minor Group]]&lt;&gt;"",Table1[[#This Row],[Minor Group]],H642))</f>
        <v>31-9000</v>
      </c>
      <c r="I643" s="2" t="str">
        <f>IF(Table1[[#This Row],[Major Group]]&lt;&gt;"","n/a",IF(Table1[[#This Row],[Minor Group]]&lt;&gt;"","n/a",IF(Table1[[#This Row],[Broad Group]]&lt;&gt;"",Table1[[#This Row],[Broad Group]],I642)))</f>
        <v>31-9090</v>
      </c>
      <c r="J6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Occupation]],J642))))</f>
        <v>31-9095</v>
      </c>
      <c r="K643" s="2" t="str">
        <f>Table1[[#This Row],[Group Name]]</f>
        <v>Pharmacy Aides</v>
      </c>
    </row>
    <row r="644" spans="1:11" ht="25.5" x14ac:dyDescent="0.25">
      <c r="D644" s="5" t="s">
        <v>1184</v>
      </c>
      <c r="E644" s="5" t="s">
        <v>1185</v>
      </c>
      <c r="F6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44" s="2" t="str">
        <f>IF(Table1[[#This Row],[Type]]="Major",Table1[[#This Row],[Major Group]],G643)</f>
        <v>31-0000</v>
      </c>
      <c r="H644" s="2" t="str">
        <f>IF(Table1[[#This Row],[Major Group]]&lt;&gt;"","n/a",IF(Table1[[#This Row],[Minor Group]]&lt;&gt;"",Table1[[#This Row],[Minor Group]],H643))</f>
        <v>31-9000</v>
      </c>
      <c r="I644" s="2" t="str">
        <f>IF(Table1[[#This Row],[Major Group]]&lt;&gt;"","n/a",IF(Table1[[#This Row],[Minor Group]]&lt;&gt;"","n/a",IF(Table1[[#This Row],[Broad Group]]&lt;&gt;"",Table1[[#This Row],[Broad Group]],I643)))</f>
        <v>31-9090</v>
      </c>
      <c r="J6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Occupation]],J643))))</f>
        <v>31-9096</v>
      </c>
      <c r="K644" s="2" t="str">
        <f>Table1[[#This Row],[Group Name]]</f>
        <v>Veterinary Assistants and Laboratory Animal Caretakers</v>
      </c>
    </row>
    <row r="645" spans="1:11" x14ac:dyDescent="0.25">
      <c r="D645" s="5" t="s">
        <v>1186</v>
      </c>
      <c r="E645" s="5" t="s">
        <v>1187</v>
      </c>
      <c r="F6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45" s="2" t="str">
        <f>IF(Table1[[#This Row],[Type]]="Major",Table1[[#This Row],[Major Group]],G644)</f>
        <v>31-0000</v>
      </c>
      <c r="H645" s="2" t="str">
        <f>IF(Table1[[#This Row],[Major Group]]&lt;&gt;"","n/a",IF(Table1[[#This Row],[Minor Group]]&lt;&gt;"",Table1[[#This Row],[Minor Group]],H644))</f>
        <v>31-9000</v>
      </c>
      <c r="I645" s="2" t="str">
        <f>IF(Table1[[#This Row],[Major Group]]&lt;&gt;"","n/a",IF(Table1[[#This Row],[Minor Group]]&lt;&gt;"","n/a",IF(Table1[[#This Row],[Broad Group]]&lt;&gt;"",Table1[[#This Row],[Broad Group]],I644)))</f>
        <v>31-9090</v>
      </c>
      <c r="J6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Occupation]],J644))))</f>
        <v>31-9097</v>
      </c>
      <c r="K645" s="2" t="str">
        <f>Table1[[#This Row],[Group Name]]</f>
        <v>Phlebotomists</v>
      </c>
    </row>
    <row r="646" spans="1:11" x14ac:dyDescent="0.25">
      <c r="D646" s="5" t="s">
        <v>1188</v>
      </c>
      <c r="E646" s="5" t="s">
        <v>1189</v>
      </c>
      <c r="F6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46" s="2" t="str">
        <f>IF(Table1[[#This Row],[Type]]="Major",Table1[[#This Row],[Major Group]],G645)</f>
        <v>31-0000</v>
      </c>
      <c r="H646" s="2" t="str">
        <f>IF(Table1[[#This Row],[Major Group]]&lt;&gt;"","n/a",IF(Table1[[#This Row],[Minor Group]]&lt;&gt;"",Table1[[#This Row],[Minor Group]],H645))</f>
        <v>31-9000</v>
      </c>
      <c r="I646" s="2" t="str">
        <f>IF(Table1[[#This Row],[Major Group]]&lt;&gt;"","n/a",IF(Table1[[#This Row],[Minor Group]]&lt;&gt;"","n/a",IF(Table1[[#This Row],[Broad Group]]&lt;&gt;"",Table1[[#This Row],[Broad Group]],I645)))</f>
        <v>31-9090</v>
      </c>
      <c r="J6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Occupation]],J645))))</f>
        <v>31-9099</v>
      </c>
      <c r="K646" s="2" t="str">
        <f>Table1[[#This Row],[Group Name]]</f>
        <v>Healthcare Support Workers, All Other</v>
      </c>
    </row>
    <row r="647" spans="1:11" ht="15.75" x14ac:dyDescent="0.25">
      <c r="A647" s="4" t="s">
        <v>1190</v>
      </c>
      <c r="E647" s="4" t="s">
        <v>1191</v>
      </c>
      <c r="F6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647" s="2" t="str">
        <f>IF(Table1[[#This Row],[Type]]="Major",Table1[[#This Row],[Major Group]],G646)</f>
        <v>33-0000</v>
      </c>
      <c r="H647" s="2" t="str">
        <f>IF(Table1[[#This Row],[Major Group]]&lt;&gt;"","n/a",IF(Table1[[#This Row],[Minor Group]]&lt;&gt;"",Table1[[#This Row],[Minor Group]],H646))</f>
        <v>n/a</v>
      </c>
      <c r="I647" s="2" t="str">
        <f>IF(Table1[[#This Row],[Major Group]]&lt;&gt;"","n/a",IF(Table1[[#This Row],[Minor Group]]&lt;&gt;"","n/a",IF(Table1[[#This Row],[Broad Group]]&lt;&gt;"",Table1[[#This Row],[Broad Group]],I646)))</f>
        <v>n/a</v>
      </c>
      <c r="J6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Occupation]],J646))))</f>
        <v>n/a</v>
      </c>
      <c r="K647" s="2" t="str">
        <f>Table1[[#This Row],[Group Name]]</f>
        <v>Protective Service Occupations</v>
      </c>
    </row>
    <row r="648" spans="1:11" x14ac:dyDescent="0.25">
      <c r="B648" s="3" t="s">
        <v>1192</v>
      </c>
      <c r="E648" s="3" t="s">
        <v>1193</v>
      </c>
      <c r="F6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48" s="2" t="str">
        <f>IF(Table1[[#This Row],[Type]]="Major",Table1[[#This Row],[Major Group]],G647)</f>
        <v>33-0000</v>
      </c>
      <c r="H648" s="2" t="str">
        <f>IF(Table1[[#This Row],[Major Group]]&lt;&gt;"","n/a",IF(Table1[[#This Row],[Minor Group]]&lt;&gt;"",Table1[[#This Row],[Minor Group]],H647))</f>
        <v>33-1000</v>
      </c>
      <c r="I648" s="2" t="str">
        <f>IF(Table1[[#This Row],[Major Group]]&lt;&gt;"","n/a",IF(Table1[[#This Row],[Minor Group]]&lt;&gt;"","n/a",IF(Table1[[#This Row],[Broad Group]]&lt;&gt;"",Table1[[#This Row],[Broad Group]],I647)))</f>
        <v>n/a</v>
      </c>
      <c r="J6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Occupation]],J647))))</f>
        <v>n/a</v>
      </c>
      <c r="K648" s="2" t="str">
        <f>Table1[[#This Row],[Group Name]]</f>
        <v>Supervisors of Protective Service Workers</v>
      </c>
    </row>
    <row r="649" spans="1:11" ht="30" x14ac:dyDescent="0.25">
      <c r="C649" s="1" t="s">
        <v>1194</v>
      </c>
      <c r="E649" s="1" t="s">
        <v>1195</v>
      </c>
      <c r="F6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49" s="2" t="str">
        <f>IF(Table1[[#This Row],[Type]]="Major",Table1[[#This Row],[Major Group]],G648)</f>
        <v>33-0000</v>
      </c>
      <c r="H649" s="2" t="str">
        <f>IF(Table1[[#This Row],[Major Group]]&lt;&gt;"","n/a",IF(Table1[[#This Row],[Minor Group]]&lt;&gt;"",Table1[[#This Row],[Minor Group]],H648))</f>
        <v>33-1000</v>
      </c>
      <c r="I649" s="2" t="str">
        <f>IF(Table1[[#This Row],[Major Group]]&lt;&gt;"","n/a",IF(Table1[[#This Row],[Minor Group]]&lt;&gt;"","n/a",IF(Table1[[#This Row],[Broad Group]]&lt;&gt;"",Table1[[#This Row],[Broad Group]],I648)))</f>
        <v>33-1010</v>
      </c>
      <c r="J6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Occupation]],J648))))</f>
        <v>n/a</v>
      </c>
      <c r="K649" s="2" t="str">
        <f>Table1[[#This Row],[Group Name]]</f>
        <v>First-Line Supervisors of Law Enforcement Workers</v>
      </c>
    </row>
    <row r="650" spans="1:11" ht="25.5" x14ac:dyDescent="0.25">
      <c r="D650" s="5" t="s">
        <v>1196</v>
      </c>
      <c r="E650" s="5" t="s">
        <v>1197</v>
      </c>
      <c r="F6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50" s="2" t="str">
        <f>IF(Table1[[#This Row],[Type]]="Major",Table1[[#This Row],[Major Group]],G649)</f>
        <v>33-0000</v>
      </c>
      <c r="H650" s="2" t="str">
        <f>IF(Table1[[#This Row],[Major Group]]&lt;&gt;"","n/a",IF(Table1[[#This Row],[Minor Group]]&lt;&gt;"",Table1[[#This Row],[Minor Group]],H649))</f>
        <v>33-1000</v>
      </c>
      <c r="I650" s="2" t="str">
        <f>IF(Table1[[#This Row],[Major Group]]&lt;&gt;"","n/a",IF(Table1[[#This Row],[Minor Group]]&lt;&gt;"","n/a",IF(Table1[[#This Row],[Broad Group]]&lt;&gt;"",Table1[[#This Row],[Broad Group]],I649)))</f>
        <v>33-1010</v>
      </c>
      <c r="J6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Occupation]],J649))))</f>
        <v>33-1011</v>
      </c>
      <c r="K650" s="2" t="str">
        <f>Table1[[#This Row],[Group Name]]</f>
        <v>First-Line Supervisors of Correctional Officers</v>
      </c>
    </row>
    <row r="651" spans="1:11" ht="25.5" x14ac:dyDescent="0.25">
      <c r="D651" s="5" t="s">
        <v>1198</v>
      </c>
      <c r="E651" s="5" t="s">
        <v>1199</v>
      </c>
      <c r="F6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51" s="2" t="str">
        <f>IF(Table1[[#This Row],[Type]]="Major",Table1[[#This Row],[Major Group]],G650)</f>
        <v>33-0000</v>
      </c>
      <c r="H651" s="2" t="str">
        <f>IF(Table1[[#This Row],[Major Group]]&lt;&gt;"","n/a",IF(Table1[[#This Row],[Minor Group]]&lt;&gt;"",Table1[[#This Row],[Minor Group]],H650))</f>
        <v>33-1000</v>
      </c>
      <c r="I651" s="2" t="str">
        <f>IF(Table1[[#This Row],[Major Group]]&lt;&gt;"","n/a",IF(Table1[[#This Row],[Minor Group]]&lt;&gt;"","n/a",IF(Table1[[#This Row],[Broad Group]]&lt;&gt;"",Table1[[#This Row],[Broad Group]],I650)))</f>
        <v>33-1010</v>
      </c>
      <c r="J6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Occupation]],J650))))</f>
        <v>33-1012</v>
      </c>
      <c r="K651" s="2" t="str">
        <f>Table1[[#This Row],[Group Name]]</f>
        <v>First-Line Supervisors of Police and Detectives</v>
      </c>
    </row>
    <row r="652" spans="1:11" ht="45" x14ac:dyDescent="0.25">
      <c r="C652" s="1" t="s">
        <v>1200</v>
      </c>
      <c r="E652" s="1" t="s">
        <v>1201</v>
      </c>
      <c r="F6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52" s="2" t="str">
        <f>IF(Table1[[#This Row],[Type]]="Major",Table1[[#This Row],[Major Group]],G651)</f>
        <v>33-0000</v>
      </c>
      <c r="H652" s="2" t="str">
        <f>IF(Table1[[#This Row],[Major Group]]&lt;&gt;"","n/a",IF(Table1[[#This Row],[Minor Group]]&lt;&gt;"",Table1[[#This Row],[Minor Group]],H651))</f>
        <v>33-1000</v>
      </c>
      <c r="I652" s="2" t="str">
        <f>IF(Table1[[#This Row],[Major Group]]&lt;&gt;"","n/a",IF(Table1[[#This Row],[Minor Group]]&lt;&gt;"","n/a",IF(Table1[[#This Row],[Broad Group]]&lt;&gt;"",Table1[[#This Row],[Broad Group]],I651)))</f>
        <v>33-1020</v>
      </c>
      <c r="J6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Occupation]],J651))))</f>
        <v>n/a</v>
      </c>
      <c r="K652" s="2" t="str">
        <f>Table1[[#This Row],[Group Name]]</f>
        <v>First-Line Supervisors of Firefighting and Prevention Workers</v>
      </c>
    </row>
    <row r="653" spans="1:11" ht="25.5" x14ac:dyDescent="0.25">
      <c r="D653" s="5" t="s">
        <v>1202</v>
      </c>
      <c r="E653" s="5" t="s">
        <v>1201</v>
      </c>
      <c r="F6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53" s="2" t="str">
        <f>IF(Table1[[#This Row],[Type]]="Major",Table1[[#This Row],[Major Group]],G652)</f>
        <v>33-0000</v>
      </c>
      <c r="H653" s="2" t="str">
        <f>IF(Table1[[#This Row],[Major Group]]&lt;&gt;"","n/a",IF(Table1[[#This Row],[Minor Group]]&lt;&gt;"",Table1[[#This Row],[Minor Group]],H652))</f>
        <v>33-1000</v>
      </c>
      <c r="I653" s="2" t="str">
        <f>IF(Table1[[#This Row],[Major Group]]&lt;&gt;"","n/a",IF(Table1[[#This Row],[Minor Group]]&lt;&gt;"","n/a",IF(Table1[[#This Row],[Broad Group]]&lt;&gt;"",Table1[[#This Row],[Broad Group]],I652)))</f>
        <v>33-1020</v>
      </c>
      <c r="J6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Occupation]],J652))))</f>
        <v>33-1021</v>
      </c>
      <c r="K653" s="2" t="str">
        <f>Table1[[#This Row],[Group Name]]</f>
        <v>First-Line Supervisors of Firefighting and Prevention Workers</v>
      </c>
    </row>
    <row r="654" spans="1:11" ht="45" x14ac:dyDescent="0.25">
      <c r="C654" s="1" t="s">
        <v>1203</v>
      </c>
      <c r="E654" s="1" t="s">
        <v>1204</v>
      </c>
      <c r="F6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54" s="2" t="str">
        <f>IF(Table1[[#This Row],[Type]]="Major",Table1[[#This Row],[Major Group]],G653)</f>
        <v>33-0000</v>
      </c>
      <c r="H654" s="2" t="str">
        <f>IF(Table1[[#This Row],[Major Group]]&lt;&gt;"","n/a",IF(Table1[[#This Row],[Minor Group]]&lt;&gt;"",Table1[[#This Row],[Minor Group]],H653))</f>
        <v>33-1000</v>
      </c>
      <c r="I654" s="2" t="str">
        <f>IF(Table1[[#This Row],[Major Group]]&lt;&gt;"","n/a",IF(Table1[[#This Row],[Minor Group]]&lt;&gt;"","n/a",IF(Table1[[#This Row],[Broad Group]]&lt;&gt;"",Table1[[#This Row],[Broad Group]],I653)))</f>
        <v>33-1090</v>
      </c>
      <c r="J6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Occupation]],J653))))</f>
        <v>n/a</v>
      </c>
      <c r="K654" s="2" t="str">
        <f>Table1[[#This Row],[Group Name]]</f>
        <v>Miscellaneous First-Line Supervisors, Protective Service Workers</v>
      </c>
    </row>
    <row r="655" spans="1:11" ht="25.5" x14ac:dyDescent="0.25">
      <c r="D655" s="5" t="s">
        <v>1205</v>
      </c>
      <c r="E655" s="5" t="s">
        <v>1206</v>
      </c>
      <c r="F6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55" s="2" t="str">
        <f>IF(Table1[[#This Row],[Type]]="Major",Table1[[#This Row],[Major Group]],G654)</f>
        <v>33-0000</v>
      </c>
      <c r="H655" s="2" t="str">
        <f>IF(Table1[[#This Row],[Major Group]]&lt;&gt;"","n/a",IF(Table1[[#This Row],[Minor Group]]&lt;&gt;"",Table1[[#This Row],[Minor Group]],H654))</f>
        <v>33-1000</v>
      </c>
      <c r="I655" s="2" t="str">
        <f>IF(Table1[[#This Row],[Major Group]]&lt;&gt;"","n/a",IF(Table1[[#This Row],[Minor Group]]&lt;&gt;"","n/a",IF(Table1[[#This Row],[Broad Group]]&lt;&gt;"",Table1[[#This Row],[Broad Group]],I654)))</f>
        <v>33-1090</v>
      </c>
      <c r="J6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Occupation]],J654))))</f>
        <v>33-1091</v>
      </c>
      <c r="K655" s="2" t="str">
        <f>Table1[[#This Row],[Group Name]]</f>
        <v>First-Line Supervisors of Security Workers</v>
      </c>
    </row>
    <row r="656" spans="1:11" ht="25.5" x14ac:dyDescent="0.25">
      <c r="D656" s="5" t="s">
        <v>1207</v>
      </c>
      <c r="E656" s="5" t="s">
        <v>1208</v>
      </c>
      <c r="F6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56" s="2" t="str">
        <f>IF(Table1[[#This Row],[Type]]="Major",Table1[[#This Row],[Major Group]],G655)</f>
        <v>33-0000</v>
      </c>
      <c r="H656" s="2" t="str">
        <f>IF(Table1[[#This Row],[Major Group]]&lt;&gt;"","n/a",IF(Table1[[#This Row],[Minor Group]]&lt;&gt;"",Table1[[#This Row],[Minor Group]],H655))</f>
        <v>33-1000</v>
      </c>
      <c r="I656" s="2" t="str">
        <f>IF(Table1[[#This Row],[Major Group]]&lt;&gt;"","n/a",IF(Table1[[#This Row],[Minor Group]]&lt;&gt;"","n/a",IF(Table1[[#This Row],[Broad Group]]&lt;&gt;"",Table1[[#This Row],[Broad Group]],I655)))</f>
        <v>33-1090</v>
      </c>
      <c r="J6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Occupation]],J655))))</f>
        <v>33-1099</v>
      </c>
      <c r="K656" s="2" t="str">
        <f>Table1[[#This Row],[Group Name]]</f>
        <v>First-Line Supervisors of Protective Service Workers, All Other</v>
      </c>
    </row>
    <row r="657" spans="2:11" x14ac:dyDescent="0.25">
      <c r="B657" s="3" t="s">
        <v>1209</v>
      </c>
      <c r="E657" s="3" t="s">
        <v>1210</v>
      </c>
      <c r="F6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57" s="2" t="str">
        <f>IF(Table1[[#This Row],[Type]]="Major",Table1[[#This Row],[Major Group]],G656)</f>
        <v>33-0000</v>
      </c>
      <c r="H657" s="2" t="str">
        <f>IF(Table1[[#This Row],[Major Group]]&lt;&gt;"","n/a",IF(Table1[[#This Row],[Minor Group]]&lt;&gt;"",Table1[[#This Row],[Minor Group]],H656))</f>
        <v>33-2000</v>
      </c>
      <c r="I657" s="2" t="str">
        <f>IF(Table1[[#This Row],[Major Group]]&lt;&gt;"","n/a",IF(Table1[[#This Row],[Minor Group]]&lt;&gt;"","n/a",IF(Table1[[#This Row],[Broad Group]]&lt;&gt;"",Table1[[#This Row],[Broad Group]],I656)))</f>
        <v>n/a</v>
      </c>
      <c r="J6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Occupation]],J656))))</f>
        <v>n/a</v>
      </c>
      <c r="K657" s="2" t="str">
        <f>Table1[[#This Row],[Group Name]]</f>
        <v>Firefighting and Prevention Workers</v>
      </c>
    </row>
    <row r="658" spans="2:11" x14ac:dyDescent="0.25">
      <c r="C658" s="1" t="s">
        <v>1211</v>
      </c>
      <c r="E658" s="1" t="s">
        <v>1212</v>
      </c>
      <c r="F6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58" s="2" t="str">
        <f>IF(Table1[[#This Row],[Type]]="Major",Table1[[#This Row],[Major Group]],G657)</f>
        <v>33-0000</v>
      </c>
      <c r="H658" s="2" t="str">
        <f>IF(Table1[[#This Row],[Major Group]]&lt;&gt;"","n/a",IF(Table1[[#This Row],[Minor Group]]&lt;&gt;"",Table1[[#This Row],[Minor Group]],H657))</f>
        <v>33-2000</v>
      </c>
      <c r="I658" s="2" t="str">
        <f>IF(Table1[[#This Row],[Major Group]]&lt;&gt;"","n/a",IF(Table1[[#This Row],[Minor Group]]&lt;&gt;"","n/a",IF(Table1[[#This Row],[Broad Group]]&lt;&gt;"",Table1[[#This Row],[Broad Group]],I657)))</f>
        <v>33-2010</v>
      </c>
      <c r="J6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Occupation]],J657))))</f>
        <v>n/a</v>
      </c>
      <c r="K658" s="2" t="str">
        <f>Table1[[#This Row],[Group Name]]</f>
        <v>Firefighters</v>
      </c>
    </row>
    <row r="659" spans="2:11" x14ac:dyDescent="0.25">
      <c r="D659" s="5" t="s">
        <v>1213</v>
      </c>
      <c r="E659" s="5" t="s">
        <v>1212</v>
      </c>
      <c r="F6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59" s="2" t="str">
        <f>IF(Table1[[#This Row],[Type]]="Major",Table1[[#This Row],[Major Group]],G658)</f>
        <v>33-0000</v>
      </c>
      <c r="H659" s="2" t="str">
        <f>IF(Table1[[#This Row],[Major Group]]&lt;&gt;"","n/a",IF(Table1[[#This Row],[Minor Group]]&lt;&gt;"",Table1[[#This Row],[Minor Group]],H658))</f>
        <v>33-2000</v>
      </c>
      <c r="I659" s="2" t="str">
        <f>IF(Table1[[#This Row],[Major Group]]&lt;&gt;"","n/a",IF(Table1[[#This Row],[Minor Group]]&lt;&gt;"","n/a",IF(Table1[[#This Row],[Broad Group]]&lt;&gt;"",Table1[[#This Row],[Broad Group]],I658)))</f>
        <v>33-2010</v>
      </c>
      <c r="J6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Occupation]],J658))))</f>
        <v>33-2011</v>
      </c>
      <c r="K659" s="2" t="str">
        <f>Table1[[#This Row],[Group Name]]</f>
        <v>Firefighters</v>
      </c>
    </row>
    <row r="660" spans="2:11" x14ac:dyDescent="0.25">
      <c r="C660" s="1" t="s">
        <v>1214</v>
      </c>
      <c r="E660" s="1" t="s">
        <v>1215</v>
      </c>
      <c r="F6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60" s="2" t="str">
        <f>IF(Table1[[#This Row],[Type]]="Major",Table1[[#This Row],[Major Group]],G659)</f>
        <v>33-0000</v>
      </c>
      <c r="H660" s="2" t="str">
        <f>IF(Table1[[#This Row],[Major Group]]&lt;&gt;"","n/a",IF(Table1[[#This Row],[Minor Group]]&lt;&gt;"",Table1[[#This Row],[Minor Group]],H659))</f>
        <v>33-2000</v>
      </c>
      <c r="I660" s="2" t="str">
        <f>IF(Table1[[#This Row],[Major Group]]&lt;&gt;"","n/a",IF(Table1[[#This Row],[Minor Group]]&lt;&gt;"","n/a",IF(Table1[[#This Row],[Broad Group]]&lt;&gt;"",Table1[[#This Row],[Broad Group]],I659)))</f>
        <v>33-2020</v>
      </c>
      <c r="J6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Occupation]],J659))))</f>
        <v>n/a</v>
      </c>
      <c r="K660" s="2" t="str">
        <f>Table1[[#This Row],[Group Name]]</f>
        <v>Fire Inspectors</v>
      </c>
    </row>
    <row r="661" spans="2:11" x14ac:dyDescent="0.25">
      <c r="D661" s="5" t="s">
        <v>1216</v>
      </c>
      <c r="E661" s="5" t="s">
        <v>1217</v>
      </c>
      <c r="F6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61" s="2" t="str">
        <f>IF(Table1[[#This Row],[Type]]="Major",Table1[[#This Row],[Major Group]],G660)</f>
        <v>33-0000</v>
      </c>
      <c r="H661" s="2" t="str">
        <f>IF(Table1[[#This Row],[Major Group]]&lt;&gt;"","n/a",IF(Table1[[#This Row],[Minor Group]]&lt;&gt;"",Table1[[#This Row],[Minor Group]],H660))</f>
        <v>33-2000</v>
      </c>
      <c r="I661" s="2" t="str">
        <f>IF(Table1[[#This Row],[Major Group]]&lt;&gt;"","n/a",IF(Table1[[#This Row],[Minor Group]]&lt;&gt;"","n/a",IF(Table1[[#This Row],[Broad Group]]&lt;&gt;"",Table1[[#This Row],[Broad Group]],I660)))</f>
        <v>33-2020</v>
      </c>
      <c r="J6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Occupation]],J660))))</f>
        <v>33-2021</v>
      </c>
      <c r="K661" s="2" t="str">
        <f>Table1[[#This Row],[Group Name]]</f>
        <v>Fire Inspectors and Investigators</v>
      </c>
    </row>
    <row r="662" spans="2:11" ht="25.5" x14ac:dyDescent="0.25">
      <c r="D662" s="5" t="s">
        <v>1218</v>
      </c>
      <c r="E662" s="5" t="s">
        <v>1219</v>
      </c>
      <c r="F6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62" s="2" t="str">
        <f>IF(Table1[[#This Row],[Type]]="Major",Table1[[#This Row],[Major Group]],G661)</f>
        <v>33-0000</v>
      </c>
      <c r="H662" s="2" t="str">
        <f>IF(Table1[[#This Row],[Major Group]]&lt;&gt;"","n/a",IF(Table1[[#This Row],[Minor Group]]&lt;&gt;"",Table1[[#This Row],[Minor Group]],H661))</f>
        <v>33-2000</v>
      </c>
      <c r="I662" s="2" t="str">
        <f>IF(Table1[[#This Row],[Major Group]]&lt;&gt;"","n/a",IF(Table1[[#This Row],[Minor Group]]&lt;&gt;"","n/a",IF(Table1[[#This Row],[Broad Group]]&lt;&gt;"",Table1[[#This Row],[Broad Group]],I661)))</f>
        <v>33-2020</v>
      </c>
      <c r="J6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Occupation]],J661))))</f>
        <v>33-2022</v>
      </c>
      <c r="K662" s="2" t="str">
        <f>Table1[[#This Row],[Group Name]]</f>
        <v>Forest Fire Inspectors and Prevention Specialists</v>
      </c>
    </row>
    <row r="663" spans="2:11" x14ac:dyDescent="0.25">
      <c r="B663" s="3" t="s">
        <v>1220</v>
      </c>
      <c r="E663" s="3" t="s">
        <v>1221</v>
      </c>
      <c r="F6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63" s="2" t="str">
        <f>IF(Table1[[#This Row],[Type]]="Major",Table1[[#This Row],[Major Group]],G662)</f>
        <v>33-0000</v>
      </c>
      <c r="H663" s="2" t="str">
        <f>IF(Table1[[#This Row],[Major Group]]&lt;&gt;"","n/a",IF(Table1[[#This Row],[Minor Group]]&lt;&gt;"",Table1[[#This Row],[Minor Group]],H662))</f>
        <v>33-3000</v>
      </c>
      <c r="I663" s="2" t="str">
        <f>IF(Table1[[#This Row],[Major Group]]&lt;&gt;"","n/a",IF(Table1[[#This Row],[Minor Group]]&lt;&gt;"","n/a",IF(Table1[[#This Row],[Broad Group]]&lt;&gt;"",Table1[[#This Row],[Broad Group]],I662)))</f>
        <v>n/a</v>
      </c>
      <c r="J6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Occupation]],J662))))</f>
        <v>n/a</v>
      </c>
      <c r="K663" s="2" t="str">
        <f>Table1[[#This Row],[Group Name]]</f>
        <v>Law Enforcement Workers</v>
      </c>
    </row>
    <row r="664" spans="2:11" ht="30" x14ac:dyDescent="0.25">
      <c r="C664" s="1" t="s">
        <v>1222</v>
      </c>
      <c r="E664" s="1" t="s">
        <v>1223</v>
      </c>
      <c r="F6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64" s="2" t="str">
        <f>IF(Table1[[#This Row],[Type]]="Major",Table1[[#This Row],[Major Group]],G663)</f>
        <v>33-0000</v>
      </c>
      <c r="H664" s="2" t="str">
        <f>IF(Table1[[#This Row],[Major Group]]&lt;&gt;"","n/a",IF(Table1[[#This Row],[Minor Group]]&lt;&gt;"",Table1[[#This Row],[Minor Group]],H663))</f>
        <v>33-3000</v>
      </c>
      <c r="I664" s="2" t="str">
        <f>IF(Table1[[#This Row],[Major Group]]&lt;&gt;"","n/a",IF(Table1[[#This Row],[Minor Group]]&lt;&gt;"","n/a",IF(Table1[[#This Row],[Broad Group]]&lt;&gt;"",Table1[[#This Row],[Broad Group]],I663)))</f>
        <v>33-3010</v>
      </c>
      <c r="J6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Occupation]],J663))))</f>
        <v>n/a</v>
      </c>
      <c r="K664" s="2" t="str">
        <f>Table1[[#This Row],[Group Name]]</f>
        <v>Bailiffs, Correctional Officers, and Jailers</v>
      </c>
    </row>
    <row r="665" spans="2:11" x14ac:dyDescent="0.25">
      <c r="D665" s="5" t="s">
        <v>1224</v>
      </c>
      <c r="E665" s="5" t="s">
        <v>1225</v>
      </c>
      <c r="F6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65" s="2" t="str">
        <f>IF(Table1[[#This Row],[Type]]="Major",Table1[[#This Row],[Major Group]],G664)</f>
        <v>33-0000</v>
      </c>
      <c r="H665" s="2" t="str">
        <f>IF(Table1[[#This Row],[Major Group]]&lt;&gt;"","n/a",IF(Table1[[#This Row],[Minor Group]]&lt;&gt;"",Table1[[#This Row],[Minor Group]],H664))</f>
        <v>33-3000</v>
      </c>
      <c r="I665" s="2" t="str">
        <f>IF(Table1[[#This Row],[Major Group]]&lt;&gt;"","n/a",IF(Table1[[#This Row],[Minor Group]]&lt;&gt;"","n/a",IF(Table1[[#This Row],[Broad Group]]&lt;&gt;"",Table1[[#This Row],[Broad Group]],I664)))</f>
        <v>33-3010</v>
      </c>
      <c r="J6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Occupation]],J664))))</f>
        <v>33-3011</v>
      </c>
      <c r="K665" s="2" t="str">
        <f>Table1[[#This Row],[Group Name]]</f>
        <v>Bailiffs</v>
      </c>
    </row>
    <row r="666" spans="2:11" x14ac:dyDescent="0.25">
      <c r="D666" s="5" t="s">
        <v>1226</v>
      </c>
      <c r="E666" s="5" t="s">
        <v>1227</v>
      </c>
      <c r="F6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66" s="2" t="str">
        <f>IF(Table1[[#This Row],[Type]]="Major",Table1[[#This Row],[Major Group]],G665)</f>
        <v>33-0000</v>
      </c>
      <c r="H666" s="2" t="str">
        <f>IF(Table1[[#This Row],[Major Group]]&lt;&gt;"","n/a",IF(Table1[[#This Row],[Minor Group]]&lt;&gt;"",Table1[[#This Row],[Minor Group]],H665))</f>
        <v>33-3000</v>
      </c>
      <c r="I666" s="2" t="str">
        <f>IF(Table1[[#This Row],[Major Group]]&lt;&gt;"","n/a",IF(Table1[[#This Row],[Minor Group]]&lt;&gt;"","n/a",IF(Table1[[#This Row],[Broad Group]]&lt;&gt;"",Table1[[#This Row],[Broad Group]],I665)))</f>
        <v>33-3010</v>
      </c>
      <c r="J6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Occupation]],J665))))</f>
        <v>33-3012</v>
      </c>
      <c r="K666" s="2" t="str">
        <f>Table1[[#This Row],[Group Name]]</f>
        <v>Correctional Officers and Jailers</v>
      </c>
    </row>
    <row r="667" spans="2:11" ht="30" x14ac:dyDescent="0.25">
      <c r="C667" s="1" t="s">
        <v>1228</v>
      </c>
      <c r="E667" s="1" t="s">
        <v>1229</v>
      </c>
      <c r="F6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67" s="2" t="str">
        <f>IF(Table1[[#This Row],[Type]]="Major",Table1[[#This Row],[Major Group]],G666)</f>
        <v>33-0000</v>
      </c>
      <c r="H667" s="2" t="str">
        <f>IF(Table1[[#This Row],[Major Group]]&lt;&gt;"","n/a",IF(Table1[[#This Row],[Minor Group]]&lt;&gt;"",Table1[[#This Row],[Minor Group]],H666))</f>
        <v>33-3000</v>
      </c>
      <c r="I667" s="2" t="str">
        <f>IF(Table1[[#This Row],[Major Group]]&lt;&gt;"","n/a",IF(Table1[[#This Row],[Minor Group]]&lt;&gt;"","n/a",IF(Table1[[#This Row],[Broad Group]]&lt;&gt;"",Table1[[#This Row],[Broad Group]],I666)))</f>
        <v>33-3020</v>
      </c>
      <c r="J6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Occupation]],J666))))</f>
        <v>n/a</v>
      </c>
      <c r="K667" s="2" t="str">
        <f>Table1[[#This Row],[Group Name]]</f>
        <v>Detectives and Criminal Investigators</v>
      </c>
    </row>
    <row r="668" spans="2:11" x14ac:dyDescent="0.25">
      <c r="D668" s="5" t="s">
        <v>1230</v>
      </c>
      <c r="E668" s="5" t="s">
        <v>1229</v>
      </c>
      <c r="F6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68" s="2" t="str">
        <f>IF(Table1[[#This Row],[Type]]="Major",Table1[[#This Row],[Major Group]],G667)</f>
        <v>33-0000</v>
      </c>
      <c r="H668" s="2" t="str">
        <f>IF(Table1[[#This Row],[Major Group]]&lt;&gt;"","n/a",IF(Table1[[#This Row],[Minor Group]]&lt;&gt;"",Table1[[#This Row],[Minor Group]],H667))</f>
        <v>33-3000</v>
      </c>
      <c r="I668" s="2" t="str">
        <f>IF(Table1[[#This Row],[Major Group]]&lt;&gt;"","n/a",IF(Table1[[#This Row],[Minor Group]]&lt;&gt;"","n/a",IF(Table1[[#This Row],[Broad Group]]&lt;&gt;"",Table1[[#This Row],[Broad Group]],I667)))</f>
        <v>33-3020</v>
      </c>
      <c r="J6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Occupation]],J667))))</f>
        <v>33-3021</v>
      </c>
      <c r="K668" s="2" t="str">
        <f>Table1[[#This Row],[Group Name]]</f>
        <v>Detectives and Criminal Investigators</v>
      </c>
    </row>
    <row r="669" spans="2:11" x14ac:dyDescent="0.25">
      <c r="C669" s="1" t="s">
        <v>1231</v>
      </c>
      <c r="E669" s="1" t="s">
        <v>1232</v>
      </c>
      <c r="F6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69" s="2" t="str">
        <f>IF(Table1[[#This Row],[Type]]="Major",Table1[[#This Row],[Major Group]],G668)</f>
        <v>33-0000</v>
      </c>
      <c r="H669" s="2" t="str">
        <f>IF(Table1[[#This Row],[Major Group]]&lt;&gt;"","n/a",IF(Table1[[#This Row],[Minor Group]]&lt;&gt;"",Table1[[#This Row],[Minor Group]],H668))</f>
        <v>33-3000</v>
      </c>
      <c r="I669" s="2" t="str">
        <f>IF(Table1[[#This Row],[Major Group]]&lt;&gt;"","n/a",IF(Table1[[#This Row],[Minor Group]]&lt;&gt;"","n/a",IF(Table1[[#This Row],[Broad Group]]&lt;&gt;"",Table1[[#This Row],[Broad Group]],I668)))</f>
        <v>33-3030</v>
      </c>
      <c r="J6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Occupation]],J668))))</f>
        <v>n/a</v>
      </c>
      <c r="K669" s="2" t="str">
        <f>Table1[[#This Row],[Group Name]]</f>
        <v>Fish and Game Wardens</v>
      </c>
    </row>
    <row r="670" spans="2:11" x14ac:dyDescent="0.25">
      <c r="D670" s="5" t="s">
        <v>1233</v>
      </c>
      <c r="E670" s="5" t="s">
        <v>1232</v>
      </c>
      <c r="F6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70" s="2" t="str">
        <f>IF(Table1[[#This Row],[Type]]="Major",Table1[[#This Row],[Major Group]],G669)</f>
        <v>33-0000</v>
      </c>
      <c r="H670" s="2" t="str">
        <f>IF(Table1[[#This Row],[Major Group]]&lt;&gt;"","n/a",IF(Table1[[#This Row],[Minor Group]]&lt;&gt;"",Table1[[#This Row],[Minor Group]],H669))</f>
        <v>33-3000</v>
      </c>
      <c r="I670" s="2" t="str">
        <f>IF(Table1[[#This Row],[Major Group]]&lt;&gt;"","n/a",IF(Table1[[#This Row],[Minor Group]]&lt;&gt;"","n/a",IF(Table1[[#This Row],[Broad Group]]&lt;&gt;"",Table1[[#This Row],[Broad Group]],I669)))</f>
        <v>33-3030</v>
      </c>
      <c r="J6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Occupation]],J669))))</f>
        <v>33-3031</v>
      </c>
      <c r="K670" s="2" t="str">
        <f>Table1[[#This Row],[Group Name]]</f>
        <v>Fish and Game Wardens</v>
      </c>
    </row>
    <row r="671" spans="2:11" x14ac:dyDescent="0.25">
      <c r="C671" s="1" t="s">
        <v>1234</v>
      </c>
      <c r="E671" s="1" t="s">
        <v>1235</v>
      </c>
      <c r="F6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71" s="2" t="str">
        <f>IF(Table1[[#This Row],[Type]]="Major",Table1[[#This Row],[Major Group]],G670)</f>
        <v>33-0000</v>
      </c>
      <c r="H671" s="2" t="str">
        <f>IF(Table1[[#This Row],[Major Group]]&lt;&gt;"","n/a",IF(Table1[[#This Row],[Minor Group]]&lt;&gt;"",Table1[[#This Row],[Minor Group]],H670))</f>
        <v>33-3000</v>
      </c>
      <c r="I671" s="2" t="str">
        <f>IF(Table1[[#This Row],[Major Group]]&lt;&gt;"","n/a",IF(Table1[[#This Row],[Minor Group]]&lt;&gt;"","n/a",IF(Table1[[#This Row],[Broad Group]]&lt;&gt;"",Table1[[#This Row],[Broad Group]],I670)))</f>
        <v>33-3040</v>
      </c>
      <c r="J6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Occupation]],J670))))</f>
        <v>n/a</v>
      </c>
      <c r="K671" s="2" t="str">
        <f>Table1[[#This Row],[Group Name]]</f>
        <v>Parking Enforcement Workers</v>
      </c>
    </row>
    <row r="672" spans="2:11" x14ac:dyDescent="0.25">
      <c r="D672" s="5" t="s">
        <v>1236</v>
      </c>
      <c r="E672" s="5" t="s">
        <v>1235</v>
      </c>
      <c r="F6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72" s="2" t="str">
        <f>IF(Table1[[#This Row],[Type]]="Major",Table1[[#This Row],[Major Group]],G671)</f>
        <v>33-0000</v>
      </c>
      <c r="H672" s="2" t="str">
        <f>IF(Table1[[#This Row],[Major Group]]&lt;&gt;"","n/a",IF(Table1[[#This Row],[Minor Group]]&lt;&gt;"",Table1[[#This Row],[Minor Group]],H671))</f>
        <v>33-3000</v>
      </c>
      <c r="I672" s="2" t="str">
        <f>IF(Table1[[#This Row],[Major Group]]&lt;&gt;"","n/a",IF(Table1[[#This Row],[Minor Group]]&lt;&gt;"","n/a",IF(Table1[[#This Row],[Broad Group]]&lt;&gt;"",Table1[[#This Row],[Broad Group]],I671)))</f>
        <v>33-3040</v>
      </c>
      <c r="J6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Occupation]],J671))))</f>
        <v>33-3041</v>
      </c>
      <c r="K672" s="2" t="str">
        <f>Table1[[#This Row],[Group Name]]</f>
        <v>Parking Enforcement Workers</v>
      </c>
    </row>
    <row r="673" spans="2:11" x14ac:dyDescent="0.25">
      <c r="C673" s="1" t="s">
        <v>1237</v>
      </c>
      <c r="E673" s="1" t="s">
        <v>1238</v>
      </c>
      <c r="F6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73" s="2" t="str">
        <f>IF(Table1[[#This Row],[Type]]="Major",Table1[[#This Row],[Major Group]],G672)</f>
        <v>33-0000</v>
      </c>
      <c r="H673" s="2" t="str">
        <f>IF(Table1[[#This Row],[Major Group]]&lt;&gt;"","n/a",IF(Table1[[#This Row],[Minor Group]]&lt;&gt;"",Table1[[#This Row],[Minor Group]],H672))</f>
        <v>33-3000</v>
      </c>
      <c r="I673" s="2" t="str">
        <f>IF(Table1[[#This Row],[Major Group]]&lt;&gt;"","n/a",IF(Table1[[#This Row],[Minor Group]]&lt;&gt;"","n/a",IF(Table1[[#This Row],[Broad Group]]&lt;&gt;"",Table1[[#This Row],[Broad Group]],I672)))</f>
        <v>33-3050</v>
      </c>
      <c r="J6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Occupation]],J672))))</f>
        <v>n/a</v>
      </c>
      <c r="K673" s="2" t="str">
        <f>Table1[[#This Row],[Group Name]]</f>
        <v>Police Officers</v>
      </c>
    </row>
    <row r="674" spans="2:11" x14ac:dyDescent="0.25">
      <c r="D674" s="5" t="s">
        <v>1239</v>
      </c>
      <c r="E674" s="5" t="s">
        <v>1240</v>
      </c>
      <c r="F6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74" s="2" t="str">
        <f>IF(Table1[[#This Row],[Type]]="Major",Table1[[#This Row],[Major Group]],G673)</f>
        <v>33-0000</v>
      </c>
      <c r="H674" s="2" t="str">
        <f>IF(Table1[[#This Row],[Major Group]]&lt;&gt;"","n/a",IF(Table1[[#This Row],[Minor Group]]&lt;&gt;"",Table1[[#This Row],[Minor Group]],H673))</f>
        <v>33-3000</v>
      </c>
      <c r="I674" s="2" t="str">
        <f>IF(Table1[[#This Row],[Major Group]]&lt;&gt;"","n/a",IF(Table1[[#This Row],[Minor Group]]&lt;&gt;"","n/a",IF(Table1[[#This Row],[Broad Group]]&lt;&gt;"",Table1[[#This Row],[Broad Group]],I673)))</f>
        <v>33-3050</v>
      </c>
      <c r="J6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Occupation]],J673))))</f>
        <v>33-3051</v>
      </c>
      <c r="K674" s="2" t="str">
        <f>Table1[[#This Row],[Group Name]]</f>
        <v>Police and Sheriff’s Patrol Officers</v>
      </c>
    </row>
    <row r="675" spans="2:11" x14ac:dyDescent="0.25">
      <c r="D675" s="5" t="s">
        <v>1241</v>
      </c>
      <c r="E675" s="5" t="s">
        <v>1242</v>
      </c>
      <c r="F6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75" s="2" t="str">
        <f>IF(Table1[[#This Row],[Type]]="Major",Table1[[#This Row],[Major Group]],G674)</f>
        <v>33-0000</v>
      </c>
      <c r="H675" s="2" t="str">
        <f>IF(Table1[[#This Row],[Major Group]]&lt;&gt;"","n/a",IF(Table1[[#This Row],[Minor Group]]&lt;&gt;"",Table1[[#This Row],[Minor Group]],H674))</f>
        <v>33-3000</v>
      </c>
      <c r="I675" s="2" t="str">
        <f>IF(Table1[[#This Row],[Major Group]]&lt;&gt;"","n/a",IF(Table1[[#This Row],[Minor Group]]&lt;&gt;"","n/a",IF(Table1[[#This Row],[Broad Group]]&lt;&gt;"",Table1[[#This Row],[Broad Group]],I674)))</f>
        <v>33-3050</v>
      </c>
      <c r="J6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Occupation]],J674))))</f>
        <v>33-3052</v>
      </c>
      <c r="K675" s="2" t="str">
        <f>Table1[[#This Row],[Group Name]]</f>
        <v>Transit and Railroad Police</v>
      </c>
    </row>
    <row r="676" spans="2:11" x14ac:dyDescent="0.25">
      <c r="B676" s="3" t="s">
        <v>1243</v>
      </c>
      <c r="E676" s="3" t="s">
        <v>1244</v>
      </c>
      <c r="F6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76" s="2" t="str">
        <f>IF(Table1[[#This Row],[Type]]="Major",Table1[[#This Row],[Major Group]],G675)</f>
        <v>33-0000</v>
      </c>
      <c r="H676" s="2" t="str">
        <f>IF(Table1[[#This Row],[Major Group]]&lt;&gt;"","n/a",IF(Table1[[#This Row],[Minor Group]]&lt;&gt;"",Table1[[#This Row],[Minor Group]],H675))</f>
        <v>33-9000</v>
      </c>
      <c r="I676" s="2" t="str">
        <f>IF(Table1[[#This Row],[Major Group]]&lt;&gt;"","n/a",IF(Table1[[#This Row],[Minor Group]]&lt;&gt;"","n/a",IF(Table1[[#This Row],[Broad Group]]&lt;&gt;"",Table1[[#This Row],[Broad Group]],I675)))</f>
        <v>n/a</v>
      </c>
      <c r="J6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Occupation]],J675))))</f>
        <v>n/a</v>
      </c>
      <c r="K676" s="2" t="str">
        <f>Table1[[#This Row],[Group Name]]</f>
        <v>Other Protective Service Workers</v>
      </c>
    </row>
    <row r="677" spans="2:11" x14ac:dyDescent="0.25">
      <c r="C677" s="1" t="s">
        <v>1245</v>
      </c>
      <c r="E677" s="1" t="s">
        <v>1246</v>
      </c>
      <c r="F6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77" s="2" t="str">
        <f>IF(Table1[[#This Row],[Type]]="Major",Table1[[#This Row],[Major Group]],G676)</f>
        <v>33-0000</v>
      </c>
      <c r="H677" s="2" t="str">
        <f>IF(Table1[[#This Row],[Major Group]]&lt;&gt;"","n/a",IF(Table1[[#This Row],[Minor Group]]&lt;&gt;"",Table1[[#This Row],[Minor Group]],H676))</f>
        <v>33-9000</v>
      </c>
      <c r="I677" s="2" t="str">
        <f>IF(Table1[[#This Row],[Major Group]]&lt;&gt;"","n/a",IF(Table1[[#This Row],[Minor Group]]&lt;&gt;"","n/a",IF(Table1[[#This Row],[Broad Group]]&lt;&gt;"",Table1[[#This Row],[Broad Group]],I676)))</f>
        <v>33-9010</v>
      </c>
      <c r="J6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Occupation]],J676))))</f>
        <v>n/a</v>
      </c>
      <c r="K677" s="2" t="str">
        <f>Table1[[#This Row],[Group Name]]</f>
        <v>Animal Control Workers</v>
      </c>
    </row>
    <row r="678" spans="2:11" x14ac:dyDescent="0.25">
      <c r="D678" s="5" t="s">
        <v>1247</v>
      </c>
      <c r="E678" s="5" t="s">
        <v>1246</v>
      </c>
      <c r="F6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78" s="2" t="str">
        <f>IF(Table1[[#This Row],[Type]]="Major",Table1[[#This Row],[Major Group]],G677)</f>
        <v>33-0000</v>
      </c>
      <c r="H678" s="2" t="str">
        <f>IF(Table1[[#This Row],[Major Group]]&lt;&gt;"","n/a",IF(Table1[[#This Row],[Minor Group]]&lt;&gt;"",Table1[[#This Row],[Minor Group]],H677))</f>
        <v>33-9000</v>
      </c>
      <c r="I678" s="2" t="str">
        <f>IF(Table1[[#This Row],[Major Group]]&lt;&gt;"","n/a",IF(Table1[[#This Row],[Minor Group]]&lt;&gt;"","n/a",IF(Table1[[#This Row],[Broad Group]]&lt;&gt;"",Table1[[#This Row],[Broad Group]],I677)))</f>
        <v>33-9010</v>
      </c>
      <c r="J6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Occupation]],J677))))</f>
        <v>33-9011</v>
      </c>
      <c r="K678" s="2" t="str">
        <f>Table1[[#This Row],[Group Name]]</f>
        <v>Animal Control Workers</v>
      </c>
    </row>
    <row r="679" spans="2:11" ht="30" x14ac:dyDescent="0.25">
      <c r="C679" s="1" t="s">
        <v>1248</v>
      </c>
      <c r="E679" s="1" t="s">
        <v>1249</v>
      </c>
      <c r="F6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79" s="2" t="str">
        <f>IF(Table1[[#This Row],[Type]]="Major",Table1[[#This Row],[Major Group]],G678)</f>
        <v>33-0000</v>
      </c>
      <c r="H679" s="2" t="str">
        <f>IF(Table1[[#This Row],[Major Group]]&lt;&gt;"","n/a",IF(Table1[[#This Row],[Minor Group]]&lt;&gt;"",Table1[[#This Row],[Minor Group]],H678))</f>
        <v>33-9000</v>
      </c>
      <c r="I679" s="2" t="str">
        <f>IF(Table1[[#This Row],[Major Group]]&lt;&gt;"","n/a",IF(Table1[[#This Row],[Minor Group]]&lt;&gt;"","n/a",IF(Table1[[#This Row],[Broad Group]]&lt;&gt;"",Table1[[#This Row],[Broad Group]],I678)))</f>
        <v>33-9020</v>
      </c>
      <c r="J6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Occupation]],J678))))</f>
        <v>n/a</v>
      </c>
      <c r="K679" s="2" t="str">
        <f>Table1[[#This Row],[Group Name]]</f>
        <v>Private Detectives and Investigators</v>
      </c>
    </row>
    <row r="680" spans="2:11" x14ac:dyDescent="0.25">
      <c r="D680" s="5" t="s">
        <v>1250</v>
      </c>
      <c r="E680" s="5" t="s">
        <v>1249</v>
      </c>
      <c r="F6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0" s="2" t="str">
        <f>IF(Table1[[#This Row],[Type]]="Major",Table1[[#This Row],[Major Group]],G679)</f>
        <v>33-0000</v>
      </c>
      <c r="H680" s="2" t="str">
        <f>IF(Table1[[#This Row],[Major Group]]&lt;&gt;"","n/a",IF(Table1[[#This Row],[Minor Group]]&lt;&gt;"",Table1[[#This Row],[Minor Group]],H679))</f>
        <v>33-9000</v>
      </c>
      <c r="I680" s="2" t="str">
        <f>IF(Table1[[#This Row],[Major Group]]&lt;&gt;"","n/a",IF(Table1[[#This Row],[Minor Group]]&lt;&gt;"","n/a",IF(Table1[[#This Row],[Broad Group]]&lt;&gt;"",Table1[[#This Row],[Broad Group]],I679)))</f>
        <v>33-9020</v>
      </c>
      <c r="J6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Occupation]],J679))))</f>
        <v>33-9021</v>
      </c>
      <c r="K680" s="2" t="str">
        <f>Table1[[#This Row],[Group Name]]</f>
        <v>Private Detectives and Investigators</v>
      </c>
    </row>
    <row r="681" spans="2:11" ht="30" x14ac:dyDescent="0.25">
      <c r="C681" s="1" t="s">
        <v>1251</v>
      </c>
      <c r="E681" s="1" t="s">
        <v>1252</v>
      </c>
      <c r="F6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81" s="2" t="str">
        <f>IF(Table1[[#This Row],[Type]]="Major",Table1[[#This Row],[Major Group]],G680)</f>
        <v>33-0000</v>
      </c>
      <c r="H681" s="2" t="str">
        <f>IF(Table1[[#This Row],[Major Group]]&lt;&gt;"","n/a",IF(Table1[[#This Row],[Minor Group]]&lt;&gt;"",Table1[[#This Row],[Minor Group]],H680))</f>
        <v>33-9000</v>
      </c>
      <c r="I681" s="2" t="str">
        <f>IF(Table1[[#This Row],[Major Group]]&lt;&gt;"","n/a",IF(Table1[[#This Row],[Minor Group]]&lt;&gt;"","n/a",IF(Table1[[#This Row],[Broad Group]]&lt;&gt;"",Table1[[#This Row],[Broad Group]],I680)))</f>
        <v>33-9030</v>
      </c>
      <c r="J6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Occupation]],J680))))</f>
        <v>n/a</v>
      </c>
      <c r="K681" s="2" t="str">
        <f>Table1[[#This Row],[Group Name]]</f>
        <v>Security Guards and Gambling Surveillance Officers</v>
      </c>
    </row>
    <row r="682" spans="2:11" ht="25.5" x14ac:dyDescent="0.25">
      <c r="D682" s="5" t="s">
        <v>1253</v>
      </c>
      <c r="E682" s="5" t="s">
        <v>1254</v>
      </c>
      <c r="F6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2" s="2" t="str">
        <f>IF(Table1[[#This Row],[Type]]="Major",Table1[[#This Row],[Major Group]],G681)</f>
        <v>33-0000</v>
      </c>
      <c r="H682" s="2" t="str">
        <f>IF(Table1[[#This Row],[Major Group]]&lt;&gt;"","n/a",IF(Table1[[#This Row],[Minor Group]]&lt;&gt;"",Table1[[#This Row],[Minor Group]],H681))</f>
        <v>33-9000</v>
      </c>
      <c r="I682" s="2" t="str">
        <f>IF(Table1[[#This Row],[Major Group]]&lt;&gt;"","n/a",IF(Table1[[#This Row],[Minor Group]]&lt;&gt;"","n/a",IF(Table1[[#This Row],[Broad Group]]&lt;&gt;"",Table1[[#This Row],[Broad Group]],I681)))</f>
        <v>33-9030</v>
      </c>
      <c r="J6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Occupation]],J681))))</f>
        <v>33-9031</v>
      </c>
      <c r="K682" s="2" t="str">
        <f>Table1[[#This Row],[Group Name]]</f>
        <v>Gambling Surveillance Officers and Gambling Investigators</v>
      </c>
    </row>
    <row r="683" spans="2:11" x14ac:dyDescent="0.25">
      <c r="D683" s="5" t="s">
        <v>1255</v>
      </c>
      <c r="E683" s="5" t="s">
        <v>1256</v>
      </c>
      <c r="F6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3" s="2" t="str">
        <f>IF(Table1[[#This Row],[Type]]="Major",Table1[[#This Row],[Major Group]],G682)</f>
        <v>33-0000</v>
      </c>
      <c r="H683" s="2" t="str">
        <f>IF(Table1[[#This Row],[Major Group]]&lt;&gt;"","n/a",IF(Table1[[#This Row],[Minor Group]]&lt;&gt;"",Table1[[#This Row],[Minor Group]],H682))</f>
        <v>33-9000</v>
      </c>
      <c r="I683" s="2" t="str">
        <f>IF(Table1[[#This Row],[Major Group]]&lt;&gt;"","n/a",IF(Table1[[#This Row],[Minor Group]]&lt;&gt;"","n/a",IF(Table1[[#This Row],[Broad Group]]&lt;&gt;"",Table1[[#This Row],[Broad Group]],I682)))</f>
        <v>33-9030</v>
      </c>
      <c r="J6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Occupation]],J682))))</f>
        <v>33-9032</v>
      </c>
      <c r="K683" s="2" t="str">
        <f>Table1[[#This Row],[Group Name]]</f>
        <v>Security Guards</v>
      </c>
    </row>
    <row r="684" spans="2:11" ht="30" x14ac:dyDescent="0.25">
      <c r="C684" s="1" t="s">
        <v>1257</v>
      </c>
      <c r="E684" s="1" t="s">
        <v>1258</v>
      </c>
      <c r="F6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84" s="2" t="str">
        <f>IF(Table1[[#This Row],[Type]]="Major",Table1[[#This Row],[Major Group]],G683)</f>
        <v>33-0000</v>
      </c>
      <c r="H684" s="2" t="str">
        <f>IF(Table1[[#This Row],[Major Group]]&lt;&gt;"","n/a",IF(Table1[[#This Row],[Minor Group]]&lt;&gt;"",Table1[[#This Row],[Minor Group]],H683))</f>
        <v>33-9000</v>
      </c>
      <c r="I684" s="2" t="str">
        <f>IF(Table1[[#This Row],[Major Group]]&lt;&gt;"","n/a",IF(Table1[[#This Row],[Minor Group]]&lt;&gt;"","n/a",IF(Table1[[#This Row],[Broad Group]]&lt;&gt;"",Table1[[#This Row],[Broad Group]],I683)))</f>
        <v>33-9090</v>
      </c>
      <c r="J6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Occupation]],J683))))</f>
        <v>n/a</v>
      </c>
      <c r="K684" s="2" t="str">
        <f>Table1[[#This Row],[Group Name]]</f>
        <v>Miscellaneous Protective Service Workers</v>
      </c>
    </row>
    <row r="685" spans="2:11" x14ac:dyDescent="0.25">
      <c r="D685" s="5" t="s">
        <v>1259</v>
      </c>
      <c r="E685" s="5" t="s">
        <v>1260</v>
      </c>
      <c r="F6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5" s="2" t="str">
        <f>IF(Table1[[#This Row],[Type]]="Major",Table1[[#This Row],[Major Group]],G684)</f>
        <v>33-0000</v>
      </c>
      <c r="H685" s="2" t="str">
        <f>IF(Table1[[#This Row],[Major Group]]&lt;&gt;"","n/a",IF(Table1[[#This Row],[Minor Group]]&lt;&gt;"",Table1[[#This Row],[Minor Group]],H684))</f>
        <v>33-9000</v>
      </c>
      <c r="I685" s="2" t="str">
        <f>IF(Table1[[#This Row],[Major Group]]&lt;&gt;"","n/a",IF(Table1[[#This Row],[Minor Group]]&lt;&gt;"","n/a",IF(Table1[[#This Row],[Broad Group]]&lt;&gt;"",Table1[[#This Row],[Broad Group]],I684)))</f>
        <v>33-9090</v>
      </c>
      <c r="J6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Occupation]],J684))))</f>
        <v>33-9091</v>
      </c>
      <c r="K685" s="2" t="str">
        <f>Table1[[#This Row],[Group Name]]</f>
        <v>Crossing Guards and Flaggers</v>
      </c>
    </row>
    <row r="686" spans="2:11" ht="38.25" x14ac:dyDescent="0.25">
      <c r="D686" s="5" t="s">
        <v>1261</v>
      </c>
      <c r="E686" s="5" t="s">
        <v>1262</v>
      </c>
      <c r="F6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6" s="2" t="str">
        <f>IF(Table1[[#This Row],[Type]]="Major",Table1[[#This Row],[Major Group]],G685)</f>
        <v>33-0000</v>
      </c>
      <c r="H686" s="2" t="str">
        <f>IF(Table1[[#This Row],[Major Group]]&lt;&gt;"","n/a",IF(Table1[[#This Row],[Minor Group]]&lt;&gt;"",Table1[[#This Row],[Minor Group]],H685))</f>
        <v>33-9000</v>
      </c>
      <c r="I686" s="2" t="str">
        <f>IF(Table1[[#This Row],[Major Group]]&lt;&gt;"","n/a",IF(Table1[[#This Row],[Minor Group]]&lt;&gt;"","n/a",IF(Table1[[#This Row],[Broad Group]]&lt;&gt;"",Table1[[#This Row],[Broad Group]],I685)))</f>
        <v>33-9090</v>
      </c>
      <c r="J6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Occupation]],J685))))</f>
        <v>33-9092</v>
      </c>
      <c r="K686" s="2" t="str">
        <f>Table1[[#This Row],[Group Name]]</f>
        <v>Lifeguards, Ski Patrol, and Other Recreational Protective Service Workers</v>
      </c>
    </row>
    <row r="687" spans="2:11" x14ac:dyDescent="0.25">
      <c r="D687" s="5" t="s">
        <v>1263</v>
      </c>
      <c r="E687" s="5" t="s">
        <v>1264</v>
      </c>
      <c r="F6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7" s="2" t="str">
        <f>IF(Table1[[#This Row],[Type]]="Major",Table1[[#This Row],[Major Group]],G686)</f>
        <v>33-0000</v>
      </c>
      <c r="H687" s="2" t="str">
        <f>IF(Table1[[#This Row],[Major Group]]&lt;&gt;"","n/a",IF(Table1[[#This Row],[Minor Group]]&lt;&gt;"",Table1[[#This Row],[Minor Group]],H686))</f>
        <v>33-9000</v>
      </c>
      <c r="I687" s="2" t="str">
        <f>IF(Table1[[#This Row],[Major Group]]&lt;&gt;"","n/a",IF(Table1[[#This Row],[Minor Group]]&lt;&gt;"","n/a",IF(Table1[[#This Row],[Broad Group]]&lt;&gt;"",Table1[[#This Row],[Broad Group]],I686)))</f>
        <v>33-9090</v>
      </c>
      <c r="J6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Occupation]],J686))))</f>
        <v>33-9093</v>
      </c>
      <c r="K687" s="2" t="str">
        <f>Table1[[#This Row],[Group Name]]</f>
        <v>Transportation Security Screeners</v>
      </c>
    </row>
    <row r="688" spans="2:11" x14ac:dyDescent="0.25">
      <c r="D688" s="5" t="s">
        <v>1265</v>
      </c>
      <c r="E688" s="5" t="s">
        <v>1266</v>
      </c>
      <c r="F6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8" s="2" t="str">
        <f>IF(Table1[[#This Row],[Type]]="Major",Table1[[#This Row],[Major Group]],G687)</f>
        <v>33-0000</v>
      </c>
      <c r="H688" s="2" t="str">
        <f>IF(Table1[[#This Row],[Major Group]]&lt;&gt;"","n/a",IF(Table1[[#This Row],[Minor Group]]&lt;&gt;"",Table1[[#This Row],[Minor Group]],H687))</f>
        <v>33-9000</v>
      </c>
      <c r="I688" s="2" t="str">
        <f>IF(Table1[[#This Row],[Major Group]]&lt;&gt;"","n/a",IF(Table1[[#This Row],[Minor Group]]&lt;&gt;"","n/a",IF(Table1[[#This Row],[Broad Group]]&lt;&gt;"",Table1[[#This Row],[Broad Group]],I687)))</f>
        <v>33-9090</v>
      </c>
      <c r="J6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Occupation]],J687))))</f>
        <v>33-9094</v>
      </c>
      <c r="K688" s="2" t="str">
        <f>Table1[[#This Row],[Group Name]]</f>
        <v>School Bus Monitors</v>
      </c>
    </row>
    <row r="689" spans="1:11" x14ac:dyDescent="0.25">
      <c r="D689" s="5" t="s">
        <v>1267</v>
      </c>
      <c r="E689" s="5" t="s">
        <v>1268</v>
      </c>
      <c r="F6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89" s="2" t="str">
        <f>IF(Table1[[#This Row],[Type]]="Major",Table1[[#This Row],[Major Group]],G688)</f>
        <v>33-0000</v>
      </c>
      <c r="H689" s="2" t="str">
        <f>IF(Table1[[#This Row],[Major Group]]&lt;&gt;"","n/a",IF(Table1[[#This Row],[Minor Group]]&lt;&gt;"",Table1[[#This Row],[Minor Group]],H688))</f>
        <v>33-9000</v>
      </c>
      <c r="I689" s="2" t="str">
        <f>IF(Table1[[#This Row],[Major Group]]&lt;&gt;"","n/a",IF(Table1[[#This Row],[Minor Group]]&lt;&gt;"","n/a",IF(Table1[[#This Row],[Broad Group]]&lt;&gt;"",Table1[[#This Row],[Broad Group]],I688)))</f>
        <v>33-9090</v>
      </c>
      <c r="J6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Occupation]],J688))))</f>
        <v>33-9099</v>
      </c>
      <c r="K689" s="2" t="str">
        <f>Table1[[#This Row],[Group Name]]</f>
        <v>Protective Service Workers, All Other</v>
      </c>
    </row>
    <row r="690" spans="1:11" ht="15.75" x14ac:dyDescent="0.25">
      <c r="A690" s="4" t="s">
        <v>1269</v>
      </c>
      <c r="E690" s="4" t="s">
        <v>1270</v>
      </c>
      <c r="F6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690" s="2" t="str">
        <f>IF(Table1[[#This Row],[Type]]="Major",Table1[[#This Row],[Major Group]],G689)</f>
        <v>35-0000</v>
      </c>
      <c r="H690" s="2" t="str">
        <f>IF(Table1[[#This Row],[Major Group]]&lt;&gt;"","n/a",IF(Table1[[#This Row],[Minor Group]]&lt;&gt;"",Table1[[#This Row],[Minor Group]],H689))</f>
        <v>n/a</v>
      </c>
      <c r="I690" s="2" t="str">
        <f>IF(Table1[[#This Row],[Major Group]]&lt;&gt;"","n/a",IF(Table1[[#This Row],[Minor Group]]&lt;&gt;"","n/a",IF(Table1[[#This Row],[Broad Group]]&lt;&gt;"",Table1[[#This Row],[Broad Group]],I689)))</f>
        <v>n/a</v>
      </c>
      <c r="J6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Occupation]],J689))))</f>
        <v>n/a</v>
      </c>
      <c r="K690" s="2" t="str">
        <f>Table1[[#This Row],[Group Name]]</f>
        <v>Food Preparation and Serving Related Occupations</v>
      </c>
    </row>
    <row r="691" spans="1:11" x14ac:dyDescent="0.25">
      <c r="B691" s="3" t="s">
        <v>1271</v>
      </c>
      <c r="E691" s="3" t="s">
        <v>1272</v>
      </c>
      <c r="F6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91" s="2" t="str">
        <f>IF(Table1[[#This Row],[Type]]="Major",Table1[[#This Row],[Major Group]],G690)</f>
        <v>35-0000</v>
      </c>
      <c r="H691" s="2" t="str">
        <f>IF(Table1[[#This Row],[Major Group]]&lt;&gt;"","n/a",IF(Table1[[#This Row],[Minor Group]]&lt;&gt;"",Table1[[#This Row],[Minor Group]],H690))</f>
        <v>35-1000</v>
      </c>
      <c r="I691" s="2" t="str">
        <f>IF(Table1[[#This Row],[Major Group]]&lt;&gt;"","n/a",IF(Table1[[#This Row],[Minor Group]]&lt;&gt;"","n/a",IF(Table1[[#This Row],[Broad Group]]&lt;&gt;"",Table1[[#This Row],[Broad Group]],I690)))</f>
        <v>n/a</v>
      </c>
      <c r="J6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Occupation]],J690))))</f>
        <v>n/a</v>
      </c>
      <c r="K691" s="2" t="str">
        <f>Table1[[#This Row],[Group Name]]</f>
        <v>Supervisors of Food Preparation and Serving Workers</v>
      </c>
    </row>
    <row r="692" spans="1:11" ht="30" x14ac:dyDescent="0.25">
      <c r="C692" s="1" t="s">
        <v>1273</v>
      </c>
      <c r="E692" s="1" t="s">
        <v>1272</v>
      </c>
      <c r="F6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92" s="2" t="str">
        <f>IF(Table1[[#This Row],[Type]]="Major",Table1[[#This Row],[Major Group]],G691)</f>
        <v>35-0000</v>
      </c>
      <c r="H692" s="2" t="str">
        <f>IF(Table1[[#This Row],[Major Group]]&lt;&gt;"","n/a",IF(Table1[[#This Row],[Minor Group]]&lt;&gt;"",Table1[[#This Row],[Minor Group]],H691))</f>
        <v>35-1000</v>
      </c>
      <c r="I692" s="2" t="str">
        <f>IF(Table1[[#This Row],[Major Group]]&lt;&gt;"","n/a",IF(Table1[[#This Row],[Minor Group]]&lt;&gt;"","n/a",IF(Table1[[#This Row],[Broad Group]]&lt;&gt;"",Table1[[#This Row],[Broad Group]],I691)))</f>
        <v>35-1010</v>
      </c>
      <c r="J6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Occupation]],J691))))</f>
        <v>n/a</v>
      </c>
      <c r="K692" s="2" t="str">
        <f>Table1[[#This Row],[Group Name]]</f>
        <v>Supervisors of Food Preparation and Serving Workers</v>
      </c>
    </row>
    <row r="693" spans="1:11" x14ac:dyDescent="0.25">
      <c r="D693" s="5" t="s">
        <v>1274</v>
      </c>
      <c r="E693" s="5" t="s">
        <v>1275</v>
      </c>
      <c r="F6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93" s="2" t="str">
        <f>IF(Table1[[#This Row],[Type]]="Major",Table1[[#This Row],[Major Group]],G692)</f>
        <v>35-0000</v>
      </c>
      <c r="H693" s="2" t="str">
        <f>IF(Table1[[#This Row],[Major Group]]&lt;&gt;"","n/a",IF(Table1[[#This Row],[Minor Group]]&lt;&gt;"",Table1[[#This Row],[Minor Group]],H692))</f>
        <v>35-1000</v>
      </c>
      <c r="I693" s="2" t="str">
        <f>IF(Table1[[#This Row],[Major Group]]&lt;&gt;"","n/a",IF(Table1[[#This Row],[Minor Group]]&lt;&gt;"","n/a",IF(Table1[[#This Row],[Broad Group]]&lt;&gt;"",Table1[[#This Row],[Broad Group]],I692)))</f>
        <v>35-1010</v>
      </c>
      <c r="J6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Occupation]],J692))))</f>
        <v>35-1011</v>
      </c>
      <c r="K693" s="2" t="str">
        <f>Table1[[#This Row],[Group Name]]</f>
        <v>Chefs and Head Cooks</v>
      </c>
    </row>
    <row r="694" spans="1:11" ht="25.5" x14ac:dyDescent="0.25">
      <c r="D694" s="5" t="s">
        <v>1276</v>
      </c>
      <c r="E694" s="5" t="s">
        <v>1277</v>
      </c>
      <c r="F6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94" s="2" t="str">
        <f>IF(Table1[[#This Row],[Type]]="Major",Table1[[#This Row],[Major Group]],G693)</f>
        <v>35-0000</v>
      </c>
      <c r="H694" s="2" t="str">
        <f>IF(Table1[[#This Row],[Major Group]]&lt;&gt;"","n/a",IF(Table1[[#This Row],[Minor Group]]&lt;&gt;"",Table1[[#This Row],[Minor Group]],H693))</f>
        <v>35-1000</v>
      </c>
      <c r="I694" s="2" t="str">
        <f>IF(Table1[[#This Row],[Major Group]]&lt;&gt;"","n/a",IF(Table1[[#This Row],[Minor Group]]&lt;&gt;"","n/a",IF(Table1[[#This Row],[Broad Group]]&lt;&gt;"",Table1[[#This Row],[Broad Group]],I693)))</f>
        <v>35-1010</v>
      </c>
      <c r="J6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Occupation]],J693))))</f>
        <v>35-1012</v>
      </c>
      <c r="K694" s="2" t="str">
        <f>Table1[[#This Row],[Group Name]]</f>
        <v>First-Line Supervisors of Food Preparation and Serving Workers</v>
      </c>
    </row>
    <row r="695" spans="1:11" x14ac:dyDescent="0.25">
      <c r="B695" s="3" t="s">
        <v>1278</v>
      </c>
      <c r="E695" s="3" t="s">
        <v>1279</v>
      </c>
      <c r="F6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695" s="2" t="str">
        <f>IF(Table1[[#This Row],[Type]]="Major",Table1[[#This Row],[Major Group]],G694)</f>
        <v>35-0000</v>
      </c>
      <c r="H695" s="2" t="str">
        <f>IF(Table1[[#This Row],[Major Group]]&lt;&gt;"","n/a",IF(Table1[[#This Row],[Minor Group]]&lt;&gt;"",Table1[[#This Row],[Minor Group]],H694))</f>
        <v>35-2000</v>
      </c>
      <c r="I695" s="2" t="str">
        <f>IF(Table1[[#This Row],[Major Group]]&lt;&gt;"","n/a",IF(Table1[[#This Row],[Minor Group]]&lt;&gt;"","n/a",IF(Table1[[#This Row],[Broad Group]]&lt;&gt;"",Table1[[#This Row],[Broad Group]],I694)))</f>
        <v>n/a</v>
      </c>
      <c r="J6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Occupation]],J694))))</f>
        <v>n/a</v>
      </c>
      <c r="K695" s="2" t="str">
        <f>Table1[[#This Row],[Group Name]]</f>
        <v>Cooks and Food Preparation Workers</v>
      </c>
    </row>
    <row r="696" spans="1:11" x14ac:dyDescent="0.25">
      <c r="C696" s="1" t="s">
        <v>1280</v>
      </c>
      <c r="E696" s="1" t="s">
        <v>1281</v>
      </c>
      <c r="F6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696" s="2" t="str">
        <f>IF(Table1[[#This Row],[Type]]="Major",Table1[[#This Row],[Major Group]],G695)</f>
        <v>35-0000</v>
      </c>
      <c r="H696" s="2" t="str">
        <f>IF(Table1[[#This Row],[Major Group]]&lt;&gt;"","n/a",IF(Table1[[#This Row],[Minor Group]]&lt;&gt;"",Table1[[#This Row],[Minor Group]],H695))</f>
        <v>35-2000</v>
      </c>
      <c r="I696" s="2" t="str">
        <f>IF(Table1[[#This Row],[Major Group]]&lt;&gt;"","n/a",IF(Table1[[#This Row],[Minor Group]]&lt;&gt;"","n/a",IF(Table1[[#This Row],[Broad Group]]&lt;&gt;"",Table1[[#This Row],[Broad Group]],I695)))</f>
        <v>35-2010</v>
      </c>
      <c r="J6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Occupation]],J695))))</f>
        <v>n/a</v>
      </c>
      <c r="K696" s="2" t="str">
        <f>Table1[[#This Row],[Group Name]]</f>
        <v>Cooks</v>
      </c>
    </row>
    <row r="697" spans="1:11" x14ac:dyDescent="0.25">
      <c r="D697" s="5" t="s">
        <v>1282</v>
      </c>
      <c r="E697" s="5" t="s">
        <v>1283</v>
      </c>
      <c r="F6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97" s="2" t="str">
        <f>IF(Table1[[#This Row],[Type]]="Major",Table1[[#This Row],[Major Group]],G696)</f>
        <v>35-0000</v>
      </c>
      <c r="H697" s="2" t="str">
        <f>IF(Table1[[#This Row],[Major Group]]&lt;&gt;"","n/a",IF(Table1[[#This Row],[Minor Group]]&lt;&gt;"",Table1[[#This Row],[Minor Group]],H696))</f>
        <v>35-2000</v>
      </c>
      <c r="I697" s="2" t="str">
        <f>IF(Table1[[#This Row],[Major Group]]&lt;&gt;"","n/a",IF(Table1[[#This Row],[Minor Group]]&lt;&gt;"","n/a",IF(Table1[[#This Row],[Broad Group]]&lt;&gt;"",Table1[[#This Row],[Broad Group]],I696)))</f>
        <v>35-2010</v>
      </c>
      <c r="J6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Occupation]],J696))))</f>
        <v>35-2011</v>
      </c>
      <c r="K697" s="2" t="str">
        <f>Table1[[#This Row],[Group Name]]</f>
        <v>Cooks, Fast Food</v>
      </c>
    </row>
    <row r="698" spans="1:11" x14ac:dyDescent="0.25">
      <c r="D698" s="5" t="s">
        <v>1284</v>
      </c>
      <c r="E698" s="5" t="s">
        <v>1285</v>
      </c>
      <c r="F6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98" s="2" t="str">
        <f>IF(Table1[[#This Row],[Type]]="Major",Table1[[#This Row],[Major Group]],G697)</f>
        <v>35-0000</v>
      </c>
      <c r="H698" s="2" t="str">
        <f>IF(Table1[[#This Row],[Major Group]]&lt;&gt;"","n/a",IF(Table1[[#This Row],[Minor Group]]&lt;&gt;"",Table1[[#This Row],[Minor Group]],H697))</f>
        <v>35-2000</v>
      </c>
      <c r="I698" s="2" t="str">
        <f>IF(Table1[[#This Row],[Major Group]]&lt;&gt;"","n/a",IF(Table1[[#This Row],[Minor Group]]&lt;&gt;"","n/a",IF(Table1[[#This Row],[Broad Group]]&lt;&gt;"",Table1[[#This Row],[Broad Group]],I697)))</f>
        <v>35-2010</v>
      </c>
      <c r="J6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Occupation]],J697))))</f>
        <v>35-2012</v>
      </c>
      <c r="K698" s="2" t="str">
        <f>Table1[[#This Row],[Group Name]]</f>
        <v>Cooks, Institution and Cafeteria</v>
      </c>
    </row>
    <row r="699" spans="1:11" x14ac:dyDescent="0.25">
      <c r="D699" s="5" t="s">
        <v>1286</v>
      </c>
      <c r="E699" s="5" t="s">
        <v>1287</v>
      </c>
      <c r="F6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699" s="2" t="str">
        <f>IF(Table1[[#This Row],[Type]]="Major",Table1[[#This Row],[Major Group]],G698)</f>
        <v>35-0000</v>
      </c>
      <c r="H699" s="2" t="str">
        <f>IF(Table1[[#This Row],[Major Group]]&lt;&gt;"","n/a",IF(Table1[[#This Row],[Minor Group]]&lt;&gt;"",Table1[[#This Row],[Minor Group]],H698))</f>
        <v>35-2000</v>
      </c>
      <c r="I699" s="2" t="str">
        <f>IF(Table1[[#This Row],[Major Group]]&lt;&gt;"","n/a",IF(Table1[[#This Row],[Minor Group]]&lt;&gt;"","n/a",IF(Table1[[#This Row],[Broad Group]]&lt;&gt;"",Table1[[#This Row],[Broad Group]],I698)))</f>
        <v>35-2010</v>
      </c>
      <c r="J6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Occupation]],J698))))</f>
        <v>35-2013</v>
      </c>
      <c r="K699" s="2" t="str">
        <f>Table1[[#This Row],[Group Name]]</f>
        <v>Cooks, Private Household</v>
      </c>
    </row>
    <row r="700" spans="1:11" x14ac:dyDescent="0.25">
      <c r="D700" s="5" t="s">
        <v>1288</v>
      </c>
      <c r="E700" s="5" t="s">
        <v>1289</v>
      </c>
      <c r="F7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00" s="2" t="str">
        <f>IF(Table1[[#This Row],[Type]]="Major",Table1[[#This Row],[Major Group]],G699)</f>
        <v>35-0000</v>
      </c>
      <c r="H700" s="2" t="str">
        <f>IF(Table1[[#This Row],[Major Group]]&lt;&gt;"","n/a",IF(Table1[[#This Row],[Minor Group]]&lt;&gt;"",Table1[[#This Row],[Minor Group]],H699))</f>
        <v>35-2000</v>
      </c>
      <c r="I700" s="2" t="str">
        <f>IF(Table1[[#This Row],[Major Group]]&lt;&gt;"","n/a",IF(Table1[[#This Row],[Minor Group]]&lt;&gt;"","n/a",IF(Table1[[#This Row],[Broad Group]]&lt;&gt;"",Table1[[#This Row],[Broad Group]],I699)))</f>
        <v>35-2010</v>
      </c>
      <c r="J7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Occupation]],J699))))</f>
        <v>35-2014</v>
      </c>
      <c r="K700" s="2" t="str">
        <f>Table1[[#This Row],[Group Name]]</f>
        <v>Cooks, Restaurant</v>
      </c>
    </row>
    <row r="701" spans="1:11" x14ac:dyDescent="0.25">
      <c r="D701" s="5" t="s">
        <v>1290</v>
      </c>
      <c r="E701" s="5" t="s">
        <v>1291</v>
      </c>
      <c r="F7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01" s="2" t="str">
        <f>IF(Table1[[#This Row],[Type]]="Major",Table1[[#This Row],[Major Group]],G700)</f>
        <v>35-0000</v>
      </c>
      <c r="H701" s="2" t="str">
        <f>IF(Table1[[#This Row],[Major Group]]&lt;&gt;"","n/a",IF(Table1[[#This Row],[Minor Group]]&lt;&gt;"",Table1[[#This Row],[Minor Group]],H700))</f>
        <v>35-2000</v>
      </c>
      <c r="I701" s="2" t="str">
        <f>IF(Table1[[#This Row],[Major Group]]&lt;&gt;"","n/a",IF(Table1[[#This Row],[Minor Group]]&lt;&gt;"","n/a",IF(Table1[[#This Row],[Broad Group]]&lt;&gt;"",Table1[[#This Row],[Broad Group]],I700)))</f>
        <v>35-2010</v>
      </c>
      <c r="J7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Occupation]],J700))))</f>
        <v>35-2015</v>
      </c>
      <c r="K701" s="2" t="str">
        <f>Table1[[#This Row],[Group Name]]</f>
        <v>Cooks, Short Order</v>
      </c>
    </row>
    <row r="702" spans="1:11" x14ac:dyDescent="0.25">
      <c r="D702" s="5" t="s">
        <v>1292</v>
      </c>
      <c r="E702" s="5" t="s">
        <v>1293</v>
      </c>
      <c r="F7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02" s="2" t="str">
        <f>IF(Table1[[#This Row],[Type]]="Major",Table1[[#This Row],[Major Group]],G701)</f>
        <v>35-0000</v>
      </c>
      <c r="H702" s="2" t="str">
        <f>IF(Table1[[#This Row],[Major Group]]&lt;&gt;"","n/a",IF(Table1[[#This Row],[Minor Group]]&lt;&gt;"",Table1[[#This Row],[Minor Group]],H701))</f>
        <v>35-2000</v>
      </c>
      <c r="I702" s="2" t="str">
        <f>IF(Table1[[#This Row],[Major Group]]&lt;&gt;"","n/a",IF(Table1[[#This Row],[Minor Group]]&lt;&gt;"","n/a",IF(Table1[[#This Row],[Broad Group]]&lt;&gt;"",Table1[[#This Row],[Broad Group]],I701)))</f>
        <v>35-2010</v>
      </c>
      <c r="J7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Occupation]],J701))))</f>
        <v>35-2019</v>
      </c>
      <c r="K702" s="2" t="str">
        <f>Table1[[#This Row],[Group Name]]</f>
        <v>Cooks, All Other</v>
      </c>
    </row>
    <row r="703" spans="1:11" x14ac:dyDescent="0.25">
      <c r="C703" s="1" t="s">
        <v>1294</v>
      </c>
      <c r="E703" s="1" t="s">
        <v>1295</v>
      </c>
      <c r="F7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03" s="2" t="str">
        <f>IF(Table1[[#This Row],[Type]]="Major",Table1[[#This Row],[Major Group]],G702)</f>
        <v>35-0000</v>
      </c>
      <c r="H703" s="2" t="str">
        <f>IF(Table1[[#This Row],[Major Group]]&lt;&gt;"","n/a",IF(Table1[[#This Row],[Minor Group]]&lt;&gt;"",Table1[[#This Row],[Minor Group]],H702))</f>
        <v>35-2000</v>
      </c>
      <c r="I703" s="2" t="str">
        <f>IF(Table1[[#This Row],[Major Group]]&lt;&gt;"","n/a",IF(Table1[[#This Row],[Minor Group]]&lt;&gt;"","n/a",IF(Table1[[#This Row],[Broad Group]]&lt;&gt;"",Table1[[#This Row],[Broad Group]],I702)))</f>
        <v>35-2020</v>
      </c>
      <c r="J7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Occupation]],J702))))</f>
        <v>n/a</v>
      </c>
      <c r="K703" s="2" t="str">
        <f>Table1[[#This Row],[Group Name]]</f>
        <v>Food Preparation Workers</v>
      </c>
    </row>
    <row r="704" spans="1:11" x14ac:dyDescent="0.25">
      <c r="D704" s="5" t="s">
        <v>1296</v>
      </c>
      <c r="E704" s="5" t="s">
        <v>1295</v>
      </c>
      <c r="F7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04" s="2" t="str">
        <f>IF(Table1[[#This Row],[Type]]="Major",Table1[[#This Row],[Major Group]],G703)</f>
        <v>35-0000</v>
      </c>
      <c r="H704" s="2" t="str">
        <f>IF(Table1[[#This Row],[Major Group]]&lt;&gt;"","n/a",IF(Table1[[#This Row],[Minor Group]]&lt;&gt;"",Table1[[#This Row],[Minor Group]],H703))</f>
        <v>35-2000</v>
      </c>
      <c r="I704" s="2" t="str">
        <f>IF(Table1[[#This Row],[Major Group]]&lt;&gt;"","n/a",IF(Table1[[#This Row],[Minor Group]]&lt;&gt;"","n/a",IF(Table1[[#This Row],[Broad Group]]&lt;&gt;"",Table1[[#This Row],[Broad Group]],I703)))</f>
        <v>35-2020</v>
      </c>
      <c r="J7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Occupation]],J703))))</f>
        <v>35-2021</v>
      </c>
      <c r="K704" s="2" t="str">
        <f>Table1[[#This Row],[Group Name]]</f>
        <v>Food Preparation Workers</v>
      </c>
    </row>
    <row r="705" spans="2:11" x14ac:dyDescent="0.25">
      <c r="B705" s="3" t="s">
        <v>1297</v>
      </c>
      <c r="E705" s="3" t="s">
        <v>1298</v>
      </c>
      <c r="F7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05" s="2" t="str">
        <f>IF(Table1[[#This Row],[Type]]="Major",Table1[[#This Row],[Major Group]],G704)</f>
        <v>35-0000</v>
      </c>
      <c r="H705" s="2" t="str">
        <f>IF(Table1[[#This Row],[Major Group]]&lt;&gt;"","n/a",IF(Table1[[#This Row],[Minor Group]]&lt;&gt;"",Table1[[#This Row],[Minor Group]],H704))</f>
        <v>35-3000</v>
      </c>
      <c r="I705" s="2" t="str">
        <f>IF(Table1[[#This Row],[Major Group]]&lt;&gt;"","n/a",IF(Table1[[#This Row],[Minor Group]]&lt;&gt;"","n/a",IF(Table1[[#This Row],[Broad Group]]&lt;&gt;"",Table1[[#This Row],[Broad Group]],I704)))</f>
        <v>n/a</v>
      </c>
      <c r="J7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Occupation]],J704))))</f>
        <v>n/a</v>
      </c>
      <c r="K705" s="2" t="str">
        <f>Table1[[#This Row],[Group Name]]</f>
        <v>Food and Beverage Serving Workers</v>
      </c>
    </row>
    <row r="706" spans="2:11" x14ac:dyDescent="0.25">
      <c r="C706" s="1" t="s">
        <v>1299</v>
      </c>
      <c r="E706" s="1" t="s">
        <v>1300</v>
      </c>
      <c r="F7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06" s="2" t="str">
        <f>IF(Table1[[#This Row],[Type]]="Major",Table1[[#This Row],[Major Group]],G705)</f>
        <v>35-0000</v>
      </c>
      <c r="H706" s="2" t="str">
        <f>IF(Table1[[#This Row],[Major Group]]&lt;&gt;"","n/a",IF(Table1[[#This Row],[Minor Group]]&lt;&gt;"",Table1[[#This Row],[Minor Group]],H705))</f>
        <v>35-3000</v>
      </c>
      <c r="I706" s="2" t="str">
        <f>IF(Table1[[#This Row],[Major Group]]&lt;&gt;"","n/a",IF(Table1[[#This Row],[Minor Group]]&lt;&gt;"","n/a",IF(Table1[[#This Row],[Broad Group]]&lt;&gt;"",Table1[[#This Row],[Broad Group]],I705)))</f>
        <v>35-3010</v>
      </c>
      <c r="J7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Occupation]],J705))))</f>
        <v>n/a</v>
      </c>
      <c r="K706" s="2" t="str">
        <f>Table1[[#This Row],[Group Name]]</f>
        <v>Bartenders</v>
      </c>
    </row>
    <row r="707" spans="2:11" x14ac:dyDescent="0.25">
      <c r="D707" s="5" t="s">
        <v>1301</v>
      </c>
      <c r="E707" s="5" t="s">
        <v>1300</v>
      </c>
      <c r="F7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07" s="2" t="str">
        <f>IF(Table1[[#This Row],[Type]]="Major",Table1[[#This Row],[Major Group]],G706)</f>
        <v>35-0000</v>
      </c>
      <c r="H707" s="2" t="str">
        <f>IF(Table1[[#This Row],[Major Group]]&lt;&gt;"","n/a",IF(Table1[[#This Row],[Minor Group]]&lt;&gt;"",Table1[[#This Row],[Minor Group]],H706))</f>
        <v>35-3000</v>
      </c>
      <c r="I707" s="2" t="str">
        <f>IF(Table1[[#This Row],[Major Group]]&lt;&gt;"","n/a",IF(Table1[[#This Row],[Minor Group]]&lt;&gt;"","n/a",IF(Table1[[#This Row],[Broad Group]]&lt;&gt;"",Table1[[#This Row],[Broad Group]],I706)))</f>
        <v>35-3010</v>
      </c>
      <c r="J7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Occupation]],J706))))</f>
        <v>35-3011</v>
      </c>
      <c r="K707" s="2" t="str">
        <f>Table1[[#This Row],[Group Name]]</f>
        <v>Bartenders</v>
      </c>
    </row>
    <row r="708" spans="2:11" x14ac:dyDescent="0.25">
      <c r="C708" s="1" t="s">
        <v>1302</v>
      </c>
      <c r="E708" s="1" t="s">
        <v>1303</v>
      </c>
      <c r="F7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08" s="2" t="str">
        <f>IF(Table1[[#This Row],[Type]]="Major",Table1[[#This Row],[Major Group]],G707)</f>
        <v>35-0000</v>
      </c>
      <c r="H708" s="2" t="str">
        <f>IF(Table1[[#This Row],[Major Group]]&lt;&gt;"","n/a",IF(Table1[[#This Row],[Minor Group]]&lt;&gt;"",Table1[[#This Row],[Minor Group]],H707))</f>
        <v>35-3000</v>
      </c>
      <c r="I708" s="2" t="str">
        <f>IF(Table1[[#This Row],[Major Group]]&lt;&gt;"","n/a",IF(Table1[[#This Row],[Minor Group]]&lt;&gt;"","n/a",IF(Table1[[#This Row],[Broad Group]]&lt;&gt;"",Table1[[#This Row],[Broad Group]],I707)))</f>
        <v>35-3020</v>
      </c>
      <c r="J7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Occupation]],J707))))</f>
        <v>n/a</v>
      </c>
      <c r="K708" s="2" t="str">
        <f>Table1[[#This Row],[Group Name]]</f>
        <v>Fast Food and Counter Workers</v>
      </c>
    </row>
    <row r="709" spans="2:11" x14ac:dyDescent="0.25">
      <c r="D709" s="5" t="s">
        <v>1304</v>
      </c>
      <c r="E709" s="5" t="s">
        <v>1303</v>
      </c>
      <c r="F7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09" s="2" t="str">
        <f>IF(Table1[[#This Row],[Type]]="Major",Table1[[#This Row],[Major Group]],G708)</f>
        <v>35-0000</v>
      </c>
      <c r="H709" s="2" t="str">
        <f>IF(Table1[[#This Row],[Major Group]]&lt;&gt;"","n/a",IF(Table1[[#This Row],[Minor Group]]&lt;&gt;"",Table1[[#This Row],[Minor Group]],H708))</f>
        <v>35-3000</v>
      </c>
      <c r="I709" s="2" t="str">
        <f>IF(Table1[[#This Row],[Major Group]]&lt;&gt;"","n/a",IF(Table1[[#This Row],[Minor Group]]&lt;&gt;"","n/a",IF(Table1[[#This Row],[Broad Group]]&lt;&gt;"",Table1[[#This Row],[Broad Group]],I708)))</f>
        <v>35-3020</v>
      </c>
      <c r="J7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Occupation]],J708))))</f>
        <v>35-3023</v>
      </c>
      <c r="K709" s="2" t="str">
        <f>Table1[[#This Row],[Group Name]]</f>
        <v>Fast Food and Counter Workers</v>
      </c>
    </row>
    <row r="710" spans="2:11" x14ac:dyDescent="0.25">
      <c r="C710" s="1" t="s">
        <v>1305</v>
      </c>
      <c r="E710" s="1" t="s">
        <v>1306</v>
      </c>
      <c r="F7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10" s="2" t="str">
        <f>IF(Table1[[#This Row],[Type]]="Major",Table1[[#This Row],[Major Group]],G709)</f>
        <v>35-0000</v>
      </c>
      <c r="H710" s="2" t="str">
        <f>IF(Table1[[#This Row],[Major Group]]&lt;&gt;"","n/a",IF(Table1[[#This Row],[Minor Group]]&lt;&gt;"",Table1[[#This Row],[Minor Group]],H709))</f>
        <v>35-3000</v>
      </c>
      <c r="I710" s="2" t="str">
        <f>IF(Table1[[#This Row],[Major Group]]&lt;&gt;"","n/a",IF(Table1[[#This Row],[Minor Group]]&lt;&gt;"","n/a",IF(Table1[[#This Row],[Broad Group]]&lt;&gt;"",Table1[[#This Row],[Broad Group]],I709)))</f>
        <v>35-3030</v>
      </c>
      <c r="J7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Occupation]],J709))))</f>
        <v>n/a</v>
      </c>
      <c r="K710" s="2" t="str">
        <f>Table1[[#This Row],[Group Name]]</f>
        <v>Waiters and Waitresses</v>
      </c>
    </row>
    <row r="711" spans="2:11" x14ac:dyDescent="0.25">
      <c r="D711" s="5" t="s">
        <v>1307</v>
      </c>
      <c r="E711" s="5" t="s">
        <v>1306</v>
      </c>
      <c r="F7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11" s="2" t="str">
        <f>IF(Table1[[#This Row],[Type]]="Major",Table1[[#This Row],[Major Group]],G710)</f>
        <v>35-0000</v>
      </c>
      <c r="H711" s="2" t="str">
        <f>IF(Table1[[#This Row],[Major Group]]&lt;&gt;"","n/a",IF(Table1[[#This Row],[Minor Group]]&lt;&gt;"",Table1[[#This Row],[Minor Group]],H710))</f>
        <v>35-3000</v>
      </c>
      <c r="I711" s="2" t="str">
        <f>IF(Table1[[#This Row],[Major Group]]&lt;&gt;"","n/a",IF(Table1[[#This Row],[Minor Group]]&lt;&gt;"","n/a",IF(Table1[[#This Row],[Broad Group]]&lt;&gt;"",Table1[[#This Row],[Broad Group]],I710)))</f>
        <v>35-3030</v>
      </c>
      <c r="J7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Occupation]],J710))))</f>
        <v>35-3031</v>
      </c>
      <c r="K711" s="2" t="str">
        <f>Table1[[#This Row],[Group Name]]</f>
        <v>Waiters and Waitresses</v>
      </c>
    </row>
    <row r="712" spans="2:11" x14ac:dyDescent="0.25">
      <c r="C712" s="1" t="s">
        <v>1308</v>
      </c>
      <c r="E712" s="1" t="s">
        <v>1309</v>
      </c>
      <c r="F7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12" s="2" t="str">
        <f>IF(Table1[[#This Row],[Type]]="Major",Table1[[#This Row],[Major Group]],G711)</f>
        <v>35-0000</v>
      </c>
      <c r="H712" s="2" t="str">
        <f>IF(Table1[[#This Row],[Major Group]]&lt;&gt;"","n/a",IF(Table1[[#This Row],[Minor Group]]&lt;&gt;"",Table1[[#This Row],[Minor Group]],H711))</f>
        <v>35-3000</v>
      </c>
      <c r="I712" s="2" t="str">
        <f>IF(Table1[[#This Row],[Major Group]]&lt;&gt;"","n/a",IF(Table1[[#This Row],[Minor Group]]&lt;&gt;"","n/a",IF(Table1[[#This Row],[Broad Group]]&lt;&gt;"",Table1[[#This Row],[Broad Group]],I711)))</f>
        <v>35-3040</v>
      </c>
      <c r="J7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Occupation]],J711))))</f>
        <v>n/a</v>
      </c>
      <c r="K712" s="2" t="str">
        <f>Table1[[#This Row],[Group Name]]</f>
        <v>Food Servers, Nonrestaurant</v>
      </c>
    </row>
    <row r="713" spans="2:11" x14ac:dyDescent="0.25">
      <c r="D713" s="5" t="s">
        <v>1310</v>
      </c>
      <c r="E713" s="5" t="s">
        <v>1309</v>
      </c>
      <c r="F7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13" s="2" t="str">
        <f>IF(Table1[[#This Row],[Type]]="Major",Table1[[#This Row],[Major Group]],G712)</f>
        <v>35-0000</v>
      </c>
      <c r="H713" s="2" t="str">
        <f>IF(Table1[[#This Row],[Major Group]]&lt;&gt;"","n/a",IF(Table1[[#This Row],[Minor Group]]&lt;&gt;"",Table1[[#This Row],[Minor Group]],H712))</f>
        <v>35-3000</v>
      </c>
      <c r="I713" s="2" t="str">
        <f>IF(Table1[[#This Row],[Major Group]]&lt;&gt;"","n/a",IF(Table1[[#This Row],[Minor Group]]&lt;&gt;"","n/a",IF(Table1[[#This Row],[Broad Group]]&lt;&gt;"",Table1[[#This Row],[Broad Group]],I712)))</f>
        <v>35-3040</v>
      </c>
      <c r="J7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Occupation]],J712))))</f>
        <v>35-3041</v>
      </c>
      <c r="K713" s="2" t="str">
        <f>Table1[[#This Row],[Group Name]]</f>
        <v>Food Servers, Nonrestaurant</v>
      </c>
    </row>
    <row r="714" spans="2:11" x14ac:dyDescent="0.25">
      <c r="B714" s="3" t="s">
        <v>1311</v>
      </c>
      <c r="E714" s="3" t="s">
        <v>1312</v>
      </c>
      <c r="F7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14" s="2" t="str">
        <f>IF(Table1[[#This Row],[Type]]="Major",Table1[[#This Row],[Major Group]],G713)</f>
        <v>35-0000</v>
      </c>
      <c r="H714" s="2" t="str">
        <f>IF(Table1[[#This Row],[Major Group]]&lt;&gt;"","n/a",IF(Table1[[#This Row],[Minor Group]]&lt;&gt;"",Table1[[#This Row],[Minor Group]],H713))</f>
        <v>35-9000</v>
      </c>
      <c r="I714" s="2" t="str">
        <f>IF(Table1[[#This Row],[Major Group]]&lt;&gt;"","n/a",IF(Table1[[#This Row],[Minor Group]]&lt;&gt;"","n/a",IF(Table1[[#This Row],[Broad Group]]&lt;&gt;"",Table1[[#This Row],[Broad Group]],I713)))</f>
        <v>n/a</v>
      </c>
      <c r="J7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Occupation]],J713))))</f>
        <v>n/a</v>
      </c>
      <c r="K714" s="2" t="str">
        <f>Table1[[#This Row],[Group Name]]</f>
        <v>Other Food Preparation and Serving Related Workers</v>
      </c>
    </row>
    <row r="715" spans="2:11" ht="30" x14ac:dyDescent="0.25">
      <c r="C715" s="1" t="s">
        <v>1313</v>
      </c>
      <c r="E715" s="1" t="s">
        <v>1314</v>
      </c>
      <c r="F7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15" s="2" t="str">
        <f>IF(Table1[[#This Row],[Type]]="Major",Table1[[#This Row],[Major Group]],G714)</f>
        <v>35-0000</v>
      </c>
      <c r="H715" s="2" t="str">
        <f>IF(Table1[[#This Row],[Major Group]]&lt;&gt;"","n/a",IF(Table1[[#This Row],[Minor Group]]&lt;&gt;"",Table1[[#This Row],[Minor Group]],H714))</f>
        <v>35-9000</v>
      </c>
      <c r="I715" s="2" t="str">
        <f>IF(Table1[[#This Row],[Major Group]]&lt;&gt;"","n/a",IF(Table1[[#This Row],[Minor Group]]&lt;&gt;"","n/a",IF(Table1[[#This Row],[Broad Group]]&lt;&gt;"",Table1[[#This Row],[Broad Group]],I714)))</f>
        <v>35-9010</v>
      </c>
      <c r="J7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Occupation]],J714))))</f>
        <v>n/a</v>
      </c>
      <c r="K715" s="2" t="str">
        <f>Table1[[#This Row],[Group Name]]</f>
        <v>Dining Room and Cafeteria Attendants and Bartender Helpers</v>
      </c>
    </row>
    <row r="716" spans="2:11" ht="25.5" x14ac:dyDescent="0.25">
      <c r="D716" s="5" t="s">
        <v>1315</v>
      </c>
      <c r="E716" s="5" t="s">
        <v>1314</v>
      </c>
      <c r="F7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16" s="2" t="str">
        <f>IF(Table1[[#This Row],[Type]]="Major",Table1[[#This Row],[Major Group]],G715)</f>
        <v>35-0000</v>
      </c>
      <c r="H716" s="2" t="str">
        <f>IF(Table1[[#This Row],[Major Group]]&lt;&gt;"","n/a",IF(Table1[[#This Row],[Minor Group]]&lt;&gt;"",Table1[[#This Row],[Minor Group]],H715))</f>
        <v>35-9000</v>
      </c>
      <c r="I716" s="2" t="str">
        <f>IF(Table1[[#This Row],[Major Group]]&lt;&gt;"","n/a",IF(Table1[[#This Row],[Minor Group]]&lt;&gt;"","n/a",IF(Table1[[#This Row],[Broad Group]]&lt;&gt;"",Table1[[#This Row],[Broad Group]],I715)))</f>
        <v>35-9010</v>
      </c>
      <c r="J7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Occupation]],J715))))</f>
        <v>35-9011</v>
      </c>
      <c r="K716" s="2" t="str">
        <f>Table1[[#This Row],[Group Name]]</f>
        <v>Dining Room and Cafeteria Attendants and Bartender Helpers</v>
      </c>
    </row>
    <row r="717" spans="2:11" x14ac:dyDescent="0.25">
      <c r="C717" s="1" t="s">
        <v>1316</v>
      </c>
      <c r="E717" s="1" t="s">
        <v>1317</v>
      </c>
      <c r="F7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17" s="2" t="str">
        <f>IF(Table1[[#This Row],[Type]]="Major",Table1[[#This Row],[Major Group]],G716)</f>
        <v>35-0000</v>
      </c>
      <c r="H717" s="2" t="str">
        <f>IF(Table1[[#This Row],[Major Group]]&lt;&gt;"","n/a",IF(Table1[[#This Row],[Minor Group]]&lt;&gt;"",Table1[[#This Row],[Minor Group]],H716))</f>
        <v>35-9000</v>
      </c>
      <c r="I717" s="2" t="str">
        <f>IF(Table1[[#This Row],[Major Group]]&lt;&gt;"","n/a",IF(Table1[[#This Row],[Minor Group]]&lt;&gt;"","n/a",IF(Table1[[#This Row],[Broad Group]]&lt;&gt;"",Table1[[#This Row],[Broad Group]],I716)))</f>
        <v>35-9020</v>
      </c>
      <c r="J7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Occupation]],J716))))</f>
        <v>n/a</v>
      </c>
      <c r="K717" s="2" t="str">
        <f>Table1[[#This Row],[Group Name]]</f>
        <v>Dishwashers</v>
      </c>
    </row>
    <row r="718" spans="2:11" x14ac:dyDescent="0.25">
      <c r="D718" s="5" t="s">
        <v>1318</v>
      </c>
      <c r="E718" s="5" t="s">
        <v>1317</v>
      </c>
      <c r="F7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18" s="2" t="str">
        <f>IF(Table1[[#This Row],[Type]]="Major",Table1[[#This Row],[Major Group]],G717)</f>
        <v>35-0000</v>
      </c>
      <c r="H718" s="2" t="str">
        <f>IF(Table1[[#This Row],[Major Group]]&lt;&gt;"","n/a",IF(Table1[[#This Row],[Minor Group]]&lt;&gt;"",Table1[[#This Row],[Minor Group]],H717))</f>
        <v>35-9000</v>
      </c>
      <c r="I718" s="2" t="str">
        <f>IF(Table1[[#This Row],[Major Group]]&lt;&gt;"","n/a",IF(Table1[[#This Row],[Minor Group]]&lt;&gt;"","n/a",IF(Table1[[#This Row],[Broad Group]]&lt;&gt;"",Table1[[#This Row],[Broad Group]],I717)))</f>
        <v>35-9020</v>
      </c>
      <c r="J7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Occupation]],J717))))</f>
        <v>35-9021</v>
      </c>
      <c r="K718" s="2" t="str">
        <f>Table1[[#This Row],[Group Name]]</f>
        <v>Dishwashers</v>
      </c>
    </row>
    <row r="719" spans="2:11" ht="30" x14ac:dyDescent="0.25">
      <c r="C719" s="1" t="s">
        <v>1319</v>
      </c>
      <c r="E719" s="1" t="s">
        <v>1320</v>
      </c>
      <c r="F7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19" s="2" t="str">
        <f>IF(Table1[[#This Row],[Type]]="Major",Table1[[#This Row],[Major Group]],G718)</f>
        <v>35-0000</v>
      </c>
      <c r="H719" s="2" t="str">
        <f>IF(Table1[[#This Row],[Major Group]]&lt;&gt;"","n/a",IF(Table1[[#This Row],[Minor Group]]&lt;&gt;"",Table1[[#This Row],[Minor Group]],H718))</f>
        <v>35-9000</v>
      </c>
      <c r="I719" s="2" t="str">
        <f>IF(Table1[[#This Row],[Major Group]]&lt;&gt;"","n/a",IF(Table1[[#This Row],[Minor Group]]&lt;&gt;"","n/a",IF(Table1[[#This Row],[Broad Group]]&lt;&gt;"",Table1[[#This Row],[Broad Group]],I718)))</f>
        <v>35-9030</v>
      </c>
      <c r="J7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Occupation]],J718))))</f>
        <v>n/a</v>
      </c>
      <c r="K719" s="2" t="str">
        <f>Table1[[#This Row],[Group Name]]</f>
        <v>Hosts and Hostesses, Restaurant, Lounge, and Coffee Shop</v>
      </c>
    </row>
    <row r="720" spans="2:11" ht="25.5" x14ac:dyDescent="0.25">
      <c r="D720" s="5" t="s">
        <v>1321</v>
      </c>
      <c r="E720" s="5" t="s">
        <v>1320</v>
      </c>
      <c r="F7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20" s="2" t="str">
        <f>IF(Table1[[#This Row],[Type]]="Major",Table1[[#This Row],[Major Group]],G719)</f>
        <v>35-0000</v>
      </c>
      <c r="H720" s="2" t="str">
        <f>IF(Table1[[#This Row],[Major Group]]&lt;&gt;"","n/a",IF(Table1[[#This Row],[Minor Group]]&lt;&gt;"",Table1[[#This Row],[Minor Group]],H719))</f>
        <v>35-9000</v>
      </c>
      <c r="I720" s="2" t="str">
        <f>IF(Table1[[#This Row],[Major Group]]&lt;&gt;"","n/a",IF(Table1[[#This Row],[Minor Group]]&lt;&gt;"","n/a",IF(Table1[[#This Row],[Broad Group]]&lt;&gt;"",Table1[[#This Row],[Broad Group]],I719)))</f>
        <v>35-9030</v>
      </c>
      <c r="J7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Occupation]],J719))))</f>
        <v>35-9031</v>
      </c>
      <c r="K720" s="2" t="str">
        <f>Table1[[#This Row],[Group Name]]</f>
        <v>Hosts and Hostesses, Restaurant, Lounge, and Coffee Shop</v>
      </c>
    </row>
    <row r="721" spans="1:11" ht="30" x14ac:dyDescent="0.25">
      <c r="C721" s="1" t="s">
        <v>1322</v>
      </c>
      <c r="E721" s="1" t="s">
        <v>1323</v>
      </c>
      <c r="F7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21" s="2" t="str">
        <f>IF(Table1[[#This Row],[Type]]="Major",Table1[[#This Row],[Major Group]],G720)</f>
        <v>35-0000</v>
      </c>
      <c r="H721" s="2" t="str">
        <f>IF(Table1[[#This Row],[Major Group]]&lt;&gt;"","n/a",IF(Table1[[#This Row],[Minor Group]]&lt;&gt;"",Table1[[#This Row],[Minor Group]],H720))</f>
        <v>35-9000</v>
      </c>
      <c r="I721" s="2" t="str">
        <f>IF(Table1[[#This Row],[Major Group]]&lt;&gt;"","n/a",IF(Table1[[#This Row],[Minor Group]]&lt;&gt;"","n/a",IF(Table1[[#This Row],[Broad Group]]&lt;&gt;"",Table1[[#This Row],[Broad Group]],I720)))</f>
        <v>35-9090</v>
      </c>
      <c r="J7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Occupation]],J720))))</f>
        <v>n/a</v>
      </c>
      <c r="K721" s="2" t="str">
        <f>Table1[[#This Row],[Group Name]]</f>
        <v>Miscellaneous Food Preparation and Serving Related Workers</v>
      </c>
    </row>
    <row r="722" spans="1:11" ht="25.5" x14ac:dyDescent="0.25">
      <c r="D722" s="5" t="s">
        <v>1324</v>
      </c>
      <c r="E722" s="5" t="s">
        <v>1325</v>
      </c>
      <c r="F7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22" s="2" t="str">
        <f>IF(Table1[[#This Row],[Type]]="Major",Table1[[#This Row],[Major Group]],G721)</f>
        <v>35-0000</v>
      </c>
      <c r="H722" s="2" t="str">
        <f>IF(Table1[[#This Row],[Major Group]]&lt;&gt;"","n/a",IF(Table1[[#This Row],[Minor Group]]&lt;&gt;"",Table1[[#This Row],[Minor Group]],H721))</f>
        <v>35-9000</v>
      </c>
      <c r="I722" s="2" t="str">
        <f>IF(Table1[[#This Row],[Major Group]]&lt;&gt;"","n/a",IF(Table1[[#This Row],[Minor Group]]&lt;&gt;"","n/a",IF(Table1[[#This Row],[Broad Group]]&lt;&gt;"",Table1[[#This Row],[Broad Group]],I721)))</f>
        <v>35-9090</v>
      </c>
      <c r="J7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Occupation]],J721))))</f>
        <v>35-9099</v>
      </c>
      <c r="K722" s="2" t="str">
        <f>Table1[[#This Row],[Group Name]]</f>
        <v>Food Preparation and Serving Related Workers, All Other</v>
      </c>
    </row>
    <row r="723" spans="1:11" ht="15.75" x14ac:dyDescent="0.25">
      <c r="A723" s="4" t="s">
        <v>1326</v>
      </c>
      <c r="E723" s="4" t="s">
        <v>1327</v>
      </c>
      <c r="F7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723" s="2" t="str">
        <f>IF(Table1[[#This Row],[Type]]="Major",Table1[[#This Row],[Major Group]],G722)</f>
        <v>37-0000</v>
      </c>
      <c r="H723" s="2" t="str">
        <f>IF(Table1[[#This Row],[Major Group]]&lt;&gt;"","n/a",IF(Table1[[#This Row],[Minor Group]]&lt;&gt;"",Table1[[#This Row],[Minor Group]],H722))</f>
        <v>n/a</v>
      </c>
      <c r="I723" s="2" t="str">
        <f>IF(Table1[[#This Row],[Major Group]]&lt;&gt;"","n/a",IF(Table1[[#This Row],[Minor Group]]&lt;&gt;"","n/a",IF(Table1[[#This Row],[Broad Group]]&lt;&gt;"",Table1[[#This Row],[Broad Group]],I722)))</f>
        <v>n/a</v>
      </c>
      <c r="J7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Occupation]],J722))))</f>
        <v>n/a</v>
      </c>
      <c r="K723" s="2" t="str">
        <f>Table1[[#This Row],[Group Name]]</f>
        <v>Building and Grounds Cleaning and Maintenance Occupations</v>
      </c>
    </row>
    <row r="724" spans="1:11" x14ac:dyDescent="0.25">
      <c r="B724" s="3" t="s">
        <v>1328</v>
      </c>
      <c r="E724" s="3" t="s">
        <v>1329</v>
      </c>
      <c r="F7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24" s="2" t="str">
        <f>IF(Table1[[#This Row],[Type]]="Major",Table1[[#This Row],[Major Group]],G723)</f>
        <v>37-0000</v>
      </c>
      <c r="H724" s="2" t="str">
        <f>IF(Table1[[#This Row],[Major Group]]&lt;&gt;"","n/a",IF(Table1[[#This Row],[Minor Group]]&lt;&gt;"",Table1[[#This Row],[Minor Group]],H723))</f>
        <v>37-1000</v>
      </c>
      <c r="I724" s="2" t="str">
        <f>IF(Table1[[#This Row],[Major Group]]&lt;&gt;"","n/a",IF(Table1[[#This Row],[Minor Group]]&lt;&gt;"","n/a",IF(Table1[[#This Row],[Broad Group]]&lt;&gt;"",Table1[[#This Row],[Broad Group]],I723)))</f>
        <v>n/a</v>
      </c>
      <c r="J7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Occupation]],J723))))</f>
        <v>n/a</v>
      </c>
      <c r="K724" s="2" t="str">
        <f>Table1[[#This Row],[Group Name]]</f>
        <v>Supervisors of Building and Grounds Cleaning and Maintenance Workers</v>
      </c>
    </row>
    <row r="725" spans="1:11" ht="45" x14ac:dyDescent="0.25">
      <c r="C725" s="1" t="s">
        <v>1330</v>
      </c>
      <c r="E725" s="1" t="s">
        <v>1331</v>
      </c>
      <c r="F7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25" s="2" t="str">
        <f>IF(Table1[[#This Row],[Type]]="Major",Table1[[#This Row],[Major Group]],G724)</f>
        <v>37-0000</v>
      </c>
      <c r="H725" s="2" t="str">
        <f>IF(Table1[[#This Row],[Major Group]]&lt;&gt;"","n/a",IF(Table1[[#This Row],[Minor Group]]&lt;&gt;"",Table1[[#This Row],[Minor Group]],H724))</f>
        <v>37-1000</v>
      </c>
      <c r="I725" s="2" t="str">
        <f>IF(Table1[[#This Row],[Major Group]]&lt;&gt;"","n/a",IF(Table1[[#This Row],[Minor Group]]&lt;&gt;"","n/a",IF(Table1[[#This Row],[Broad Group]]&lt;&gt;"",Table1[[#This Row],[Broad Group]],I724)))</f>
        <v>37-1010</v>
      </c>
      <c r="J7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Occupation]],J724))))</f>
        <v>n/a</v>
      </c>
      <c r="K725" s="2" t="str">
        <f>Table1[[#This Row],[Group Name]]</f>
        <v>First-Line Supervisors of Building and Grounds Cleaning and Maintenance Workers</v>
      </c>
    </row>
    <row r="726" spans="1:11" ht="25.5" x14ac:dyDescent="0.25">
      <c r="D726" s="5" t="s">
        <v>1332</v>
      </c>
      <c r="E726" s="5" t="s">
        <v>1333</v>
      </c>
      <c r="F7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26" s="2" t="str">
        <f>IF(Table1[[#This Row],[Type]]="Major",Table1[[#This Row],[Major Group]],G725)</f>
        <v>37-0000</v>
      </c>
      <c r="H726" s="2" t="str">
        <f>IF(Table1[[#This Row],[Major Group]]&lt;&gt;"","n/a",IF(Table1[[#This Row],[Minor Group]]&lt;&gt;"",Table1[[#This Row],[Minor Group]],H725))</f>
        <v>37-1000</v>
      </c>
      <c r="I726" s="2" t="str">
        <f>IF(Table1[[#This Row],[Major Group]]&lt;&gt;"","n/a",IF(Table1[[#This Row],[Minor Group]]&lt;&gt;"","n/a",IF(Table1[[#This Row],[Broad Group]]&lt;&gt;"",Table1[[#This Row],[Broad Group]],I725)))</f>
        <v>37-1010</v>
      </c>
      <c r="J7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Occupation]],J725))))</f>
        <v>37-1011</v>
      </c>
      <c r="K726" s="2" t="str">
        <f>Table1[[#This Row],[Group Name]]</f>
        <v>First-Line Supervisors of Housekeeping and Janitorial Workers</v>
      </c>
    </row>
    <row r="727" spans="1:11" ht="38.25" x14ac:dyDescent="0.25">
      <c r="D727" s="5" t="s">
        <v>1334</v>
      </c>
      <c r="E727" s="5" t="s">
        <v>1335</v>
      </c>
      <c r="F7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27" s="2" t="str">
        <f>IF(Table1[[#This Row],[Type]]="Major",Table1[[#This Row],[Major Group]],G726)</f>
        <v>37-0000</v>
      </c>
      <c r="H727" s="2" t="str">
        <f>IF(Table1[[#This Row],[Major Group]]&lt;&gt;"","n/a",IF(Table1[[#This Row],[Minor Group]]&lt;&gt;"",Table1[[#This Row],[Minor Group]],H726))</f>
        <v>37-1000</v>
      </c>
      <c r="I727" s="2" t="str">
        <f>IF(Table1[[#This Row],[Major Group]]&lt;&gt;"","n/a",IF(Table1[[#This Row],[Minor Group]]&lt;&gt;"","n/a",IF(Table1[[#This Row],[Broad Group]]&lt;&gt;"",Table1[[#This Row],[Broad Group]],I726)))</f>
        <v>37-1010</v>
      </c>
      <c r="J7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Occupation]],J726))))</f>
        <v>37-1012</v>
      </c>
      <c r="K727" s="2" t="str">
        <f>Table1[[#This Row],[Group Name]]</f>
        <v>First-Line Supervisors of Landscaping, Lawn Service, and Groundskeeping Workers</v>
      </c>
    </row>
    <row r="728" spans="1:11" x14ac:dyDescent="0.25">
      <c r="B728" s="3" t="s">
        <v>1336</v>
      </c>
      <c r="E728" s="3" t="s">
        <v>1337</v>
      </c>
      <c r="F7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28" s="2" t="str">
        <f>IF(Table1[[#This Row],[Type]]="Major",Table1[[#This Row],[Major Group]],G727)</f>
        <v>37-0000</v>
      </c>
      <c r="H728" s="2" t="str">
        <f>IF(Table1[[#This Row],[Major Group]]&lt;&gt;"","n/a",IF(Table1[[#This Row],[Minor Group]]&lt;&gt;"",Table1[[#This Row],[Minor Group]],H727))</f>
        <v>37-2000</v>
      </c>
      <c r="I728" s="2" t="str">
        <f>IF(Table1[[#This Row],[Major Group]]&lt;&gt;"","n/a",IF(Table1[[#This Row],[Minor Group]]&lt;&gt;"","n/a",IF(Table1[[#This Row],[Broad Group]]&lt;&gt;"",Table1[[#This Row],[Broad Group]],I727)))</f>
        <v>n/a</v>
      </c>
      <c r="J7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Occupation]],J727))))</f>
        <v>n/a</v>
      </c>
      <c r="K728" s="2" t="str">
        <f>Table1[[#This Row],[Group Name]]</f>
        <v>Building Cleaning and Pest Control Workers</v>
      </c>
    </row>
    <row r="729" spans="1:11" x14ac:dyDescent="0.25">
      <c r="C729" s="1" t="s">
        <v>1338</v>
      </c>
      <c r="E729" s="1" t="s">
        <v>1339</v>
      </c>
      <c r="F7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29" s="2" t="str">
        <f>IF(Table1[[#This Row],[Type]]="Major",Table1[[#This Row],[Major Group]],G728)</f>
        <v>37-0000</v>
      </c>
      <c r="H729" s="2" t="str">
        <f>IF(Table1[[#This Row],[Major Group]]&lt;&gt;"","n/a",IF(Table1[[#This Row],[Minor Group]]&lt;&gt;"",Table1[[#This Row],[Minor Group]],H728))</f>
        <v>37-2000</v>
      </c>
      <c r="I729" s="2" t="str">
        <f>IF(Table1[[#This Row],[Major Group]]&lt;&gt;"","n/a",IF(Table1[[#This Row],[Minor Group]]&lt;&gt;"","n/a",IF(Table1[[#This Row],[Broad Group]]&lt;&gt;"",Table1[[#This Row],[Broad Group]],I728)))</f>
        <v>37-2010</v>
      </c>
      <c r="J7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Occupation]],J728))))</f>
        <v>n/a</v>
      </c>
      <c r="K729" s="2" t="str">
        <f>Table1[[#This Row],[Group Name]]</f>
        <v>Building Cleaning Workers</v>
      </c>
    </row>
    <row r="730" spans="1:11" ht="25.5" x14ac:dyDescent="0.25">
      <c r="D730" s="5" t="s">
        <v>1340</v>
      </c>
      <c r="E730" s="5" t="s">
        <v>1341</v>
      </c>
      <c r="F7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30" s="2" t="str">
        <f>IF(Table1[[#This Row],[Type]]="Major",Table1[[#This Row],[Major Group]],G729)</f>
        <v>37-0000</v>
      </c>
      <c r="H730" s="2" t="str">
        <f>IF(Table1[[#This Row],[Major Group]]&lt;&gt;"","n/a",IF(Table1[[#This Row],[Minor Group]]&lt;&gt;"",Table1[[#This Row],[Minor Group]],H729))</f>
        <v>37-2000</v>
      </c>
      <c r="I730" s="2" t="str">
        <f>IF(Table1[[#This Row],[Major Group]]&lt;&gt;"","n/a",IF(Table1[[#This Row],[Minor Group]]&lt;&gt;"","n/a",IF(Table1[[#This Row],[Broad Group]]&lt;&gt;"",Table1[[#This Row],[Broad Group]],I729)))</f>
        <v>37-2010</v>
      </c>
      <c r="J7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Occupation]],J729))))</f>
        <v>37-2011</v>
      </c>
      <c r="K730" s="2" t="str">
        <f>Table1[[#This Row],[Group Name]]</f>
        <v>Janitors and Cleaners, Except Maids and Housekeeping Cleaners</v>
      </c>
    </row>
    <row r="731" spans="1:11" x14ac:dyDescent="0.25">
      <c r="D731" s="5" t="s">
        <v>1342</v>
      </c>
      <c r="E731" s="5" t="s">
        <v>1343</v>
      </c>
      <c r="F7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31" s="2" t="str">
        <f>IF(Table1[[#This Row],[Type]]="Major",Table1[[#This Row],[Major Group]],G730)</f>
        <v>37-0000</v>
      </c>
      <c r="H731" s="2" t="str">
        <f>IF(Table1[[#This Row],[Major Group]]&lt;&gt;"","n/a",IF(Table1[[#This Row],[Minor Group]]&lt;&gt;"",Table1[[#This Row],[Minor Group]],H730))</f>
        <v>37-2000</v>
      </c>
      <c r="I731" s="2" t="str">
        <f>IF(Table1[[#This Row],[Major Group]]&lt;&gt;"","n/a",IF(Table1[[#This Row],[Minor Group]]&lt;&gt;"","n/a",IF(Table1[[#This Row],[Broad Group]]&lt;&gt;"",Table1[[#This Row],[Broad Group]],I730)))</f>
        <v>37-2010</v>
      </c>
      <c r="J7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Occupation]],J730))))</f>
        <v>37-2012</v>
      </c>
      <c r="K731" s="2" t="str">
        <f>Table1[[#This Row],[Group Name]]</f>
        <v>Maids and Housekeeping Cleaners</v>
      </c>
    </row>
    <row r="732" spans="1:11" x14ac:dyDescent="0.25">
      <c r="D732" s="5" t="s">
        <v>1344</v>
      </c>
      <c r="E732" s="5" t="s">
        <v>1345</v>
      </c>
      <c r="F7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32" s="2" t="str">
        <f>IF(Table1[[#This Row],[Type]]="Major",Table1[[#This Row],[Major Group]],G731)</f>
        <v>37-0000</v>
      </c>
      <c r="H732" s="2" t="str">
        <f>IF(Table1[[#This Row],[Major Group]]&lt;&gt;"","n/a",IF(Table1[[#This Row],[Minor Group]]&lt;&gt;"",Table1[[#This Row],[Minor Group]],H731))</f>
        <v>37-2000</v>
      </c>
      <c r="I732" s="2" t="str">
        <f>IF(Table1[[#This Row],[Major Group]]&lt;&gt;"","n/a",IF(Table1[[#This Row],[Minor Group]]&lt;&gt;"","n/a",IF(Table1[[#This Row],[Broad Group]]&lt;&gt;"",Table1[[#This Row],[Broad Group]],I731)))</f>
        <v>37-2010</v>
      </c>
      <c r="J7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Occupation]],J731))))</f>
        <v>37-2019</v>
      </c>
      <c r="K732" s="2" t="str">
        <f>Table1[[#This Row],[Group Name]]</f>
        <v>Building Cleaning Workers, All Other</v>
      </c>
    </row>
    <row r="733" spans="1:11" x14ac:dyDescent="0.25">
      <c r="C733" s="1" t="s">
        <v>1346</v>
      </c>
      <c r="E733" s="1" t="s">
        <v>1347</v>
      </c>
      <c r="F7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33" s="2" t="str">
        <f>IF(Table1[[#This Row],[Type]]="Major",Table1[[#This Row],[Major Group]],G732)</f>
        <v>37-0000</v>
      </c>
      <c r="H733" s="2" t="str">
        <f>IF(Table1[[#This Row],[Major Group]]&lt;&gt;"","n/a",IF(Table1[[#This Row],[Minor Group]]&lt;&gt;"",Table1[[#This Row],[Minor Group]],H732))</f>
        <v>37-2000</v>
      </c>
      <c r="I733" s="2" t="str">
        <f>IF(Table1[[#This Row],[Major Group]]&lt;&gt;"","n/a",IF(Table1[[#This Row],[Minor Group]]&lt;&gt;"","n/a",IF(Table1[[#This Row],[Broad Group]]&lt;&gt;"",Table1[[#This Row],[Broad Group]],I732)))</f>
        <v>37-2020</v>
      </c>
      <c r="J7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Occupation]],J732))))</f>
        <v>n/a</v>
      </c>
      <c r="K733" s="2" t="str">
        <f>Table1[[#This Row],[Group Name]]</f>
        <v>Pest Control Workers</v>
      </c>
    </row>
    <row r="734" spans="1:11" x14ac:dyDescent="0.25">
      <c r="D734" s="5" t="s">
        <v>1348</v>
      </c>
      <c r="E734" s="5" t="s">
        <v>1347</v>
      </c>
      <c r="F7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34" s="2" t="str">
        <f>IF(Table1[[#This Row],[Type]]="Major",Table1[[#This Row],[Major Group]],G733)</f>
        <v>37-0000</v>
      </c>
      <c r="H734" s="2" t="str">
        <f>IF(Table1[[#This Row],[Major Group]]&lt;&gt;"","n/a",IF(Table1[[#This Row],[Minor Group]]&lt;&gt;"",Table1[[#This Row],[Minor Group]],H733))</f>
        <v>37-2000</v>
      </c>
      <c r="I734" s="2" t="str">
        <f>IF(Table1[[#This Row],[Major Group]]&lt;&gt;"","n/a",IF(Table1[[#This Row],[Minor Group]]&lt;&gt;"","n/a",IF(Table1[[#This Row],[Broad Group]]&lt;&gt;"",Table1[[#This Row],[Broad Group]],I733)))</f>
        <v>37-2020</v>
      </c>
      <c r="J7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Occupation]],J733))))</f>
        <v>37-2021</v>
      </c>
      <c r="K734" s="2" t="str">
        <f>Table1[[#This Row],[Group Name]]</f>
        <v>Pest Control Workers</v>
      </c>
    </row>
    <row r="735" spans="1:11" x14ac:dyDescent="0.25">
      <c r="B735" s="3" t="s">
        <v>1349</v>
      </c>
      <c r="E735" s="3" t="s">
        <v>1350</v>
      </c>
      <c r="F7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35" s="2" t="str">
        <f>IF(Table1[[#This Row],[Type]]="Major",Table1[[#This Row],[Major Group]],G734)</f>
        <v>37-0000</v>
      </c>
      <c r="H735" s="2" t="str">
        <f>IF(Table1[[#This Row],[Major Group]]&lt;&gt;"","n/a",IF(Table1[[#This Row],[Minor Group]]&lt;&gt;"",Table1[[#This Row],[Minor Group]],H734))</f>
        <v>37-3000</v>
      </c>
      <c r="I735" s="2" t="str">
        <f>IF(Table1[[#This Row],[Major Group]]&lt;&gt;"","n/a",IF(Table1[[#This Row],[Minor Group]]&lt;&gt;"","n/a",IF(Table1[[#This Row],[Broad Group]]&lt;&gt;"",Table1[[#This Row],[Broad Group]],I734)))</f>
        <v>n/a</v>
      </c>
      <c r="J7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Occupation]],J734))))</f>
        <v>n/a</v>
      </c>
      <c r="K735" s="2" t="str">
        <f>Table1[[#This Row],[Group Name]]</f>
        <v>Grounds Maintenance Workers</v>
      </c>
    </row>
    <row r="736" spans="1:11" x14ac:dyDescent="0.25">
      <c r="C736" s="1" t="s">
        <v>1351</v>
      </c>
      <c r="E736" s="1" t="s">
        <v>1350</v>
      </c>
      <c r="F7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36" s="2" t="str">
        <f>IF(Table1[[#This Row],[Type]]="Major",Table1[[#This Row],[Major Group]],G735)</f>
        <v>37-0000</v>
      </c>
      <c r="H736" s="2" t="str">
        <f>IF(Table1[[#This Row],[Major Group]]&lt;&gt;"","n/a",IF(Table1[[#This Row],[Minor Group]]&lt;&gt;"",Table1[[#This Row],[Minor Group]],H735))</f>
        <v>37-3000</v>
      </c>
      <c r="I736" s="2" t="str">
        <f>IF(Table1[[#This Row],[Major Group]]&lt;&gt;"","n/a",IF(Table1[[#This Row],[Minor Group]]&lt;&gt;"","n/a",IF(Table1[[#This Row],[Broad Group]]&lt;&gt;"",Table1[[#This Row],[Broad Group]],I735)))</f>
        <v>37-3010</v>
      </c>
      <c r="J7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Occupation]],J735))))</f>
        <v>n/a</v>
      </c>
      <c r="K736" s="2" t="str">
        <f>Table1[[#This Row],[Group Name]]</f>
        <v>Grounds Maintenance Workers</v>
      </c>
    </row>
    <row r="737" spans="1:11" ht="25.5" x14ac:dyDescent="0.25">
      <c r="D737" s="5" t="s">
        <v>1352</v>
      </c>
      <c r="E737" s="5" t="s">
        <v>1353</v>
      </c>
      <c r="F7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37" s="2" t="str">
        <f>IF(Table1[[#This Row],[Type]]="Major",Table1[[#This Row],[Major Group]],G736)</f>
        <v>37-0000</v>
      </c>
      <c r="H737" s="2" t="str">
        <f>IF(Table1[[#This Row],[Major Group]]&lt;&gt;"","n/a",IF(Table1[[#This Row],[Minor Group]]&lt;&gt;"",Table1[[#This Row],[Minor Group]],H736))</f>
        <v>37-3000</v>
      </c>
      <c r="I737" s="2" t="str">
        <f>IF(Table1[[#This Row],[Major Group]]&lt;&gt;"","n/a",IF(Table1[[#This Row],[Minor Group]]&lt;&gt;"","n/a",IF(Table1[[#This Row],[Broad Group]]&lt;&gt;"",Table1[[#This Row],[Broad Group]],I736)))</f>
        <v>37-3010</v>
      </c>
      <c r="J7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Occupation]],J736))))</f>
        <v>37-3011</v>
      </c>
      <c r="K737" s="2" t="str">
        <f>Table1[[#This Row],[Group Name]]</f>
        <v>Landscaping and Groundskeeping Workers</v>
      </c>
    </row>
    <row r="738" spans="1:11" ht="25.5" x14ac:dyDescent="0.25">
      <c r="D738" s="5" t="s">
        <v>1354</v>
      </c>
      <c r="E738" s="5" t="s">
        <v>1355</v>
      </c>
      <c r="F7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38" s="2" t="str">
        <f>IF(Table1[[#This Row],[Type]]="Major",Table1[[#This Row],[Major Group]],G737)</f>
        <v>37-0000</v>
      </c>
      <c r="H738" s="2" t="str">
        <f>IF(Table1[[#This Row],[Major Group]]&lt;&gt;"","n/a",IF(Table1[[#This Row],[Minor Group]]&lt;&gt;"",Table1[[#This Row],[Minor Group]],H737))</f>
        <v>37-3000</v>
      </c>
      <c r="I738" s="2" t="str">
        <f>IF(Table1[[#This Row],[Major Group]]&lt;&gt;"","n/a",IF(Table1[[#This Row],[Minor Group]]&lt;&gt;"","n/a",IF(Table1[[#This Row],[Broad Group]]&lt;&gt;"",Table1[[#This Row],[Broad Group]],I737)))</f>
        <v>37-3010</v>
      </c>
      <c r="J7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Occupation]],J737))))</f>
        <v>37-3012</v>
      </c>
      <c r="K738" s="2" t="str">
        <f>Table1[[#This Row],[Group Name]]</f>
        <v>Pesticide Handlers, Sprayers, and Applicators, Vegetation</v>
      </c>
    </row>
    <row r="739" spans="1:11" x14ac:dyDescent="0.25">
      <c r="D739" s="5" t="s">
        <v>1356</v>
      </c>
      <c r="E739" s="5" t="s">
        <v>1357</v>
      </c>
      <c r="F7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39" s="2" t="str">
        <f>IF(Table1[[#This Row],[Type]]="Major",Table1[[#This Row],[Major Group]],G738)</f>
        <v>37-0000</v>
      </c>
      <c r="H739" s="2" t="str">
        <f>IF(Table1[[#This Row],[Major Group]]&lt;&gt;"","n/a",IF(Table1[[#This Row],[Minor Group]]&lt;&gt;"",Table1[[#This Row],[Minor Group]],H738))</f>
        <v>37-3000</v>
      </c>
      <c r="I739" s="2" t="str">
        <f>IF(Table1[[#This Row],[Major Group]]&lt;&gt;"","n/a",IF(Table1[[#This Row],[Minor Group]]&lt;&gt;"","n/a",IF(Table1[[#This Row],[Broad Group]]&lt;&gt;"",Table1[[#This Row],[Broad Group]],I738)))</f>
        <v>37-3010</v>
      </c>
      <c r="J7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Occupation]],J738))))</f>
        <v>37-3013</v>
      </c>
      <c r="K739" s="2" t="str">
        <f>Table1[[#This Row],[Group Name]]</f>
        <v>Tree Trimmers and Pruners</v>
      </c>
    </row>
    <row r="740" spans="1:11" ht="25.5" x14ac:dyDescent="0.25">
      <c r="D740" s="5" t="s">
        <v>1358</v>
      </c>
      <c r="E740" s="5" t="s">
        <v>1359</v>
      </c>
      <c r="F7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40" s="2" t="str">
        <f>IF(Table1[[#This Row],[Type]]="Major",Table1[[#This Row],[Major Group]],G739)</f>
        <v>37-0000</v>
      </c>
      <c r="H740" s="2" t="str">
        <f>IF(Table1[[#This Row],[Major Group]]&lt;&gt;"","n/a",IF(Table1[[#This Row],[Minor Group]]&lt;&gt;"",Table1[[#This Row],[Minor Group]],H739))</f>
        <v>37-3000</v>
      </c>
      <c r="I740" s="2" t="str">
        <f>IF(Table1[[#This Row],[Major Group]]&lt;&gt;"","n/a",IF(Table1[[#This Row],[Minor Group]]&lt;&gt;"","n/a",IF(Table1[[#This Row],[Broad Group]]&lt;&gt;"",Table1[[#This Row],[Broad Group]],I739)))</f>
        <v>37-3010</v>
      </c>
      <c r="J7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Occupation]],J739))))</f>
        <v>37-3019</v>
      </c>
      <c r="K740" s="2" t="str">
        <f>Table1[[#This Row],[Group Name]]</f>
        <v>Grounds Maintenance Workers, All Other</v>
      </c>
    </row>
    <row r="741" spans="1:11" ht="15.75" x14ac:dyDescent="0.25">
      <c r="A741" s="4" t="s">
        <v>1360</v>
      </c>
      <c r="E741" s="4" t="s">
        <v>1361</v>
      </c>
      <c r="F7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741" s="2" t="str">
        <f>IF(Table1[[#This Row],[Type]]="Major",Table1[[#This Row],[Major Group]],G740)</f>
        <v>39-0000</v>
      </c>
      <c r="H741" s="2" t="str">
        <f>IF(Table1[[#This Row],[Major Group]]&lt;&gt;"","n/a",IF(Table1[[#This Row],[Minor Group]]&lt;&gt;"",Table1[[#This Row],[Minor Group]],H740))</f>
        <v>n/a</v>
      </c>
      <c r="I741" s="2" t="str">
        <f>IF(Table1[[#This Row],[Major Group]]&lt;&gt;"","n/a",IF(Table1[[#This Row],[Minor Group]]&lt;&gt;"","n/a",IF(Table1[[#This Row],[Broad Group]]&lt;&gt;"",Table1[[#This Row],[Broad Group]],I740)))</f>
        <v>n/a</v>
      </c>
      <c r="J7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Occupation]],J740))))</f>
        <v>n/a</v>
      </c>
      <c r="K741" s="2" t="str">
        <f>Table1[[#This Row],[Group Name]]</f>
        <v>Personal Care and Service Occupations</v>
      </c>
    </row>
    <row r="742" spans="1:11" x14ac:dyDescent="0.25">
      <c r="B742" s="3" t="s">
        <v>1362</v>
      </c>
      <c r="E742" s="3" t="s">
        <v>1363</v>
      </c>
      <c r="F7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42" s="2" t="str">
        <f>IF(Table1[[#This Row],[Type]]="Major",Table1[[#This Row],[Major Group]],G741)</f>
        <v>39-0000</v>
      </c>
      <c r="H742" s="2" t="str">
        <f>IF(Table1[[#This Row],[Major Group]]&lt;&gt;"","n/a",IF(Table1[[#This Row],[Minor Group]]&lt;&gt;"",Table1[[#This Row],[Minor Group]],H741))</f>
        <v>39-1000</v>
      </c>
      <c r="I742" s="2" t="str">
        <f>IF(Table1[[#This Row],[Major Group]]&lt;&gt;"","n/a",IF(Table1[[#This Row],[Minor Group]]&lt;&gt;"","n/a",IF(Table1[[#This Row],[Broad Group]]&lt;&gt;"",Table1[[#This Row],[Broad Group]],I741)))</f>
        <v>n/a</v>
      </c>
      <c r="J7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Occupation]],J741))))</f>
        <v>n/a</v>
      </c>
      <c r="K742" s="2" t="str">
        <f>Table1[[#This Row],[Group Name]]</f>
        <v>Supervisors of Personal Care and Service Workers</v>
      </c>
    </row>
    <row r="743" spans="1:11" ht="45" x14ac:dyDescent="0.25">
      <c r="C743" s="1" t="s">
        <v>1364</v>
      </c>
      <c r="E743" s="1" t="s">
        <v>1365</v>
      </c>
      <c r="F7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43" s="2" t="str">
        <f>IF(Table1[[#This Row],[Type]]="Major",Table1[[#This Row],[Major Group]],G742)</f>
        <v>39-0000</v>
      </c>
      <c r="H743" s="2" t="str">
        <f>IF(Table1[[#This Row],[Major Group]]&lt;&gt;"","n/a",IF(Table1[[#This Row],[Minor Group]]&lt;&gt;"",Table1[[#This Row],[Minor Group]],H742))</f>
        <v>39-1000</v>
      </c>
      <c r="I743" s="2" t="str">
        <f>IF(Table1[[#This Row],[Major Group]]&lt;&gt;"","n/a",IF(Table1[[#This Row],[Minor Group]]&lt;&gt;"","n/a",IF(Table1[[#This Row],[Broad Group]]&lt;&gt;"",Table1[[#This Row],[Broad Group]],I742)))</f>
        <v>39-1010</v>
      </c>
      <c r="J7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Occupation]],J742))))</f>
        <v>n/a</v>
      </c>
      <c r="K743" s="2" t="str">
        <f>Table1[[#This Row],[Group Name]]</f>
        <v>First-Line Supervisors of Entertainment and Recreation Workers</v>
      </c>
    </row>
    <row r="744" spans="1:11" ht="25.5" x14ac:dyDescent="0.25">
      <c r="D744" s="5" t="s">
        <v>1366</v>
      </c>
      <c r="E744" s="5" t="s">
        <v>1367</v>
      </c>
      <c r="F7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44" s="2" t="str">
        <f>IF(Table1[[#This Row],[Type]]="Major",Table1[[#This Row],[Major Group]],G743)</f>
        <v>39-0000</v>
      </c>
      <c r="H744" s="2" t="str">
        <f>IF(Table1[[#This Row],[Major Group]]&lt;&gt;"","n/a",IF(Table1[[#This Row],[Minor Group]]&lt;&gt;"",Table1[[#This Row],[Minor Group]],H743))</f>
        <v>39-1000</v>
      </c>
      <c r="I744" s="2" t="str">
        <f>IF(Table1[[#This Row],[Major Group]]&lt;&gt;"","n/a",IF(Table1[[#This Row],[Minor Group]]&lt;&gt;"","n/a",IF(Table1[[#This Row],[Broad Group]]&lt;&gt;"",Table1[[#This Row],[Broad Group]],I743)))</f>
        <v>39-1010</v>
      </c>
      <c r="J7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Occupation]],J743))))</f>
        <v>39-1013</v>
      </c>
      <c r="K744" s="2" t="str">
        <f>Table1[[#This Row],[Group Name]]</f>
        <v>First-Line Supervisors of Gambling Services Workers</v>
      </c>
    </row>
    <row r="745" spans="1:11" ht="38.25" x14ac:dyDescent="0.25">
      <c r="D745" s="5" t="s">
        <v>1368</v>
      </c>
      <c r="E745" s="5" t="s">
        <v>1369</v>
      </c>
      <c r="F7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45" s="2" t="str">
        <f>IF(Table1[[#This Row],[Type]]="Major",Table1[[#This Row],[Major Group]],G744)</f>
        <v>39-0000</v>
      </c>
      <c r="H745" s="2" t="str">
        <f>IF(Table1[[#This Row],[Major Group]]&lt;&gt;"","n/a",IF(Table1[[#This Row],[Minor Group]]&lt;&gt;"",Table1[[#This Row],[Minor Group]],H744))</f>
        <v>39-1000</v>
      </c>
      <c r="I745" s="2" t="str">
        <f>IF(Table1[[#This Row],[Major Group]]&lt;&gt;"","n/a",IF(Table1[[#This Row],[Minor Group]]&lt;&gt;"","n/a",IF(Table1[[#This Row],[Broad Group]]&lt;&gt;"",Table1[[#This Row],[Broad Group]],I744)))</f>
        <v>39-1010</v>
      </c>
      <c r="J7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Occupation]],J744))))</f>
        <v>39-1014</v>
      </c>
      <c r="K745" s="2" t="str">
        <f>Table1[[#This Row],[Group Name]]</f>
        <v>First-Line Supervisors of Entertainment and Recreation Workers, Except Gambling Services</v>
      </c>
    </row>
    <row r="746" spans="1:11" ht="30" x14ac:dyDescent="0.25">
      <c r="C746" s="1" t="s">
        <v>1370</v>
      </c>
      <c r="E746" s="1" t="s">
        <v>1371</v>
      </c>
      <c r="F7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46" s="2" t="str">
        <f>IF(Table1[[#This Row],[Type]]="Major",Table1[[#This Row],[Major Group]],G745)</f>
        <v>39-0000</v>
      </c>
      <c r="H746" s="2" t="str">
        <f>IF(Table1[[#This Row],[Major Group]]&lt;&gt;"","n/a",IF(Table1[[#This Row],[Minor Group]]&lt;&gt;"",Table1[[#This Row],[Minor Group]],H745))</f>
        <v>39-1000</v>
      </c>
      <c r="I746" s="2" t="str">
        <f>IF(Table1[[#This Row],[Major Group]]&lt;&gt;"","n/a",IF(Table1[[#This Row],[Minor Group]]&lt;&gt;"","n/a",IF(Table1[[#This Row],[Broad Group]]&lt;&gt;"",Table1[[#This Row],[Broad Group]],I745)))</f>
        <v>39-1020</v>
      </c>
      <c r="J7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Occupation]],J745))))</f>
        <v>n/a</v>
      </c>
      <c r="K746" s="2" t="str">
        <f>Table1[[#This Row],[Group Name]]</f>
        <v>First-Line Supervisors of Personal Service Workers</v>
      </c>
    </row>
    <row r="747" spans="1:11" ht="25.5" x14ac:dyDescent="0.25">
      <c r="D747" s="5" t="s">
        <v>1372</v>
      </c>
      <c r="E747" s="5" t="s">
        <v>1371</v>
      </c>
      <c r="F7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47" s="2" t="str">
        <f>IF(Table1[[#This Row],[Type]]="Major",Table1[[#This Row],[Major Group]],G746)</f>
        <v>39-0000</v>
      </c>
      <c r="H747" s="2" t="str">
        <f>IF(Table1[[#This Row],[Major Group]]&lt;&gt;"","n/a",IF(Table1[[#This Row],[Minor Group]]&lt;&gt;"",Table1[[#This Row],[Minor Group]],H746))</f>
        <v>39-1000</v>
      </c>
      <c r="I747" s="2" t="str">
        <f>IF(Table1[[#This Row],[Major Group]]&lt;&gt;"","n/a",IF(Table1[[#This Row],[Minor Group]]&lt;&gt;"","n/a",IF(Table1[[#This Row],[Broad Group]]&lt;&gt;"",Table1[[#This Row],[Broad Group]],I746)))</f>
        <v>39-1020</v>
      </c>
      <c r="J7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Occupation]],J746))))</f>
        <v>39-1022</v>
      </c>
      <c r="K747" s="2" t="str">
        <f>Table1[[#This Row],[Group Name]]</f>
        <v>First-Line Supervisors of Personal Service Workers</v>
      </c>
    </row>
    <row r="748" spans="1:11" x14ac:dyDescent="0.25">
      <c r="B748" s="3" t="s">
        <v>1373</v>
      </c>
      <c r="E748" s="3" t="s">
        <v>1374</v>
      </c>
      <c r="F7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48" s="2" t="str">
        <f>IF(Table1[[#This Row],[Type]]="Major",Table1[[#This Row],[Major Group]],G747)</f>
        <v>39-0000</v>
      </c>
      <c r="H748" s="2" t="str">
        <f>IF(Table1[[#This Row],[Major Group]]&lt;&gt;"","n/a",IF(Table1[[#This Row],[Minor Group]]&lt;&gt;"",Table1[[#This Row],[Minor Group]],H747))</f>
        <v>39-2000</v>
      </c>
      <c r="I748" s="2" t="str">
        <f>IF(Table1[[#This Row],[Major Group]]&lt;&gt;"","n/a",IF(Table1[[#This Row],[Minor Group]]&lt;&gt;"","n/a",IF(Table1[[#This Row],[Broad Group]]&lt;&gt;"",Table1[[#This Row],[Broad Group]],I747)))</f>
        <v>n/a</v>
      </c>
      <c r="J7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Occupation]],J747))))</f>
        <v>n/a</v>
      </c>
      <c r="K748" s="2" t="str">
        <f>Table1[[#This Row],[Group Name]]</f>
        <v>Animal Care and Service Workers</v>
      </c>
    </row>
    <row r="749" spans="1:11" x14ac:dyDescent="0.25">
      <c r="C749" s="1" t="s">
        <v>1375</v>
      </c>
      <c r="E749" s="1" t="s">
        <v>1376</v>
      </c>
      <c r="F7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49" s="2" t="str">
        <f>IF(Table1[[#This Row],[Type]]="Major",Table1[[#This Row],[Major Group]],G748)</f>
        <v>39-0000</v>
      </c>
      <c r="H749" s="2" t="str">
        <f>IF(Table1[[#This Row],[Major Group]]&lt;&gt;"","n/a",IF(Table1[[#This Row],[Minor Group]]&lt;&gt;"",Table1[[#This Row],[Minor Group]],H748))</f>
        <v>39-2000</v>
      </c>
      <c r="I749" s="2" t="str">
        <f>IF(Table1[[#This Row],[Major Group]]&lt;&gt;"","n/a",IF(Table1[[#This Row],[Minor Group]]&lt;&gt;"","n/a",IF(Table1[[#This Row],[Broad Group]]&lt;&gt;"",Table1[[#This Row],[Broad Group]],I748)))</f>
        <v>39-2010</v>
      </c>
      <c r="J7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Occupation]],J748))))</f>
        <v>n/a</v>
      </c>
      <c r="K749" s="2" t="str">
        <f>Table1[[#This Row],[Group Name]]</f>
        <v>Animal Trainers</v>
      </c>
    </row>
    <row r="750" spans="1:11" x14ac:dyDescent="0.25">
      <c r="D750" s="5" t="s">
        <v>1377</v>
      </c>
      <c r="E750" s="5" t="s">
        <v>1376</v>
      </c>
      <c r="F7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50" s="2" t="str">
        <f>IF(Table1[[#This Row],[Type]]="Major",Table1[[#This Row],[Major Group]],G749)</f>
        <v>39-0000</v>
      </c>
      <c r="H750" s="2" t="str">
        <f>IF(Table1[[#This Row],[Major Group]]&lt;&gt;"","n/a",IF(Table1[[#This Row],[Minor Group]]&lt;&gt;"",Table1[[#This Row],[Minor Group]],H749))</f>
        <v>39-2000</v>
      </c>
      <c r="I750" s="2" t="str">
        <f>IF(Table1[[#This Row],[Major Group]]&lt;&gt;"","n/a",IF(Table1[[#This Row],[Minor Group]]&lt;&gt;"","n/a",IF(Table1[[#This Row],[Broad Group]]&lt;&gt;"",Table1[[#This Row],[Broad Group]],I749)))</f>
        <v>39-2010</v>
      </c>
      <c r="J7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Occupation]],J749))))</f>
        <v>39-2011</v>
      </c>
      <c r="K750" s="2" t="str">
        <f>Table1[[#This Row],[Group Name]]</f>
        <v>Animal Trainers</v>
      </c>
    </row>
    <row r="751" spans="1:11" x14ac:dyDescent="0.25">
      <c r="C751" s="1" t="s">
        <v>1378</v>
      </c>
      <c r="E751" s="1" t="s">
        <v>1379</v>
      </c>
      <c r="F7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51" s="2" t="str">
        <f>IF(Table1[[#This Row],[Type]]="Major",Table1[[#This Row],[Major Group]],G750)</f>
        <v>39-0000</v>
      </c>
      <c r="H751" s="2" t="str">
        <f>IF(Table1[[#This Row],[Major Group]]&lt;&gt;"","n/a",IF(Table1[[#This Row],[Minor Group]]&lt;&gt;"",Table1[[#This Row],[Minor Group]],H750))</f>
        <v>39-2000</v>
      </c>
      <c r="I751" s="2" t="str">
        <f>IF(Table1[[#This Row],[Major Group]]&lt;&gt;"","n/a",IF(Table1[[#This Row],[Minor Group]]&lt;&gt;"","n/a",IF(Table1[[#This Row],[Broad Group]]&lt;&gt;"",Table1[[#This Row],[Broad Group]],I750)))</f>
        <v>39-2020</v>
      </c>
      <c r="J7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Occupation]],J750))))</f>
        <v>n/a</v>
      </c>
      <c r="K751" s="2" t="str">
        <f>Table1[[#This Row],[Group Name]]</f>
        <v>Animal Caretakers</v>
      </c>
    </row>
    <row r="752" spans="1:11" x14ac:dyDescent="0.25">
      <c r="D752" s="5" t="s">
        <v>1380</v>
      </c>
      <c r="E752" s="5" t="s">
        <v>1379</v>
      </c>
      <c r="F7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52" s="2" t="str">
        <f>IF(Table1[[#This Row],[Type]]="Major",Table1[[#This Row],[Major Group]],G751)</f>
        <v>39-0000</v>
      </c>
      <c r="H752" s="2" t="str">
        <f>IF(Table1[[#This Row],[Major Group]]&lt;&gt;"","n/a",IF(Table1[[#This Row],[Minor Group]]&lt;&gt;"",Table1[[#This Row],[Minor Group]],H751))</f>
        <v>39-2000</v>
      </c>
      <c r="I752" s="2" t="str">
        <f>IF(Table1[[#This Row],[Major Group]]&lt;&gt;"","n/a",IF(Table1[[#This Row],[Minor Group]]&lt;&gt;"","n/a",IF(Table1[[#This Row],[Broad Group]]&lt;&gt;"",Table1[[#This Row],[Broad Group]],I751)))</f>
        <v>39-2020</v>
      </c>
      <c r="J7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Occupation]],J751))))</f>
        <v>39-2021</v>
      </c>
      <c r="K752" s="2" t="str">
        <f>Table1[[#This Row],[Group Name]]</f>
        <v>Animal Caretakers</v>
      </c>
    </row>
    <row r="753" spans="2:11" x14ac:dyDescent="0.25">
      <c r="B753" s="3" t="s">
        <v>1381</v>
      </c>
      <c r="E753" s="3" t="s">
        <v>1382</v>
      </c>
      <c r="F7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53" s="2" t="str">
        <f>IF(Table1[[#This Row],[Type]]="Major",Table1[[#This Row],[Major Group]],G752)</f>
        <v>39-0000</v>
      </c>
      <c r="H753" s="2" t="str">
        <f>IF(Table1[[#This Row],[Major Group]]&lt;&gt;"","n/a",IF(Table1[[#This Row],[Minor Group]]&lt;&gt;"",Table1[[#This Row],[Minor Group]],H752))</f>
        <v>39-3000</v>
      </c>
      <c r="I753" s="2" t="str">
        <f>IF(Table1[[#This Row],[Major Group]]&lt;&gt;"","n/a",IF(Table1[[#This Row],[Minor Group]]&lt;&gt;"","n/a",IF(Table1[[#This Row],[Broad Group]]&lt;&gt;"",Table1[[#This Row],[Broad Group]],I752)))</f>
        <v>n/a</v>
      </c>
      <c r="J7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Occupation]],J752))))</f>
        <v>n/a</v>
      </c>
      <c r="K753" s="2" t="str">
        <f>Table1[[#This Row],[Group Name]]</f>
        <v>Entertainment Attendants and Related Workers</v>
      </c>
    </row>
    <row r="754" spans="2:11" x14ac:dyDescent="0.25">
      <c r="C754" s="1" t="s">
        <v>1383</v>
      </c>
      <c r="E754" s="1" t="s">
        <v>1384</v>
      </c>
      <c r="F7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54" s="2" t="str">
        <f>IF(Table1[[#This Row],[Type]]="Major",Table1[[#This Row],[Major Group]],G753)</f>
        <v>39-0000</v>
      </c>
      <c r="H754" s="2" t="str">
        <f>IF(Table1[[#This Row],[Major Group]]&lt;&gt;"","n/a",IF(Table1[[#This Row],[Minor Group]]&lt;&gt;"",Table1[[#This Row],[Minor Group]],H753))</f>
        <v>39-3000</v>
      </c>
      <c r="I754" s="2" t="str">
        <f>IF(Table1[[#This Row],[Major Group]]&lt;&gt;"","n/a",IF(Table1[[#This Row],[Minor Group]]&lt;&gt;"","n/a",IF(Table1[[#This Row],[Broad Group]]&lt;&gt;"",Table1[[#This Row],[Broad Group]],I753)))</f>
        <v>39-3010</v>
      </c>
      <c r="J7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Occupation]],J753))))</f>
        <v>n/a</v>
      </c>
      <c r="K754" s="2" t="str">
        <f>Table1[[#This Row],[Group Name]]</f>
        <v>Gambling Services Workers</v>
      </c>
    </row>
    <row r="755" spans="2:11" x14ac:dyDescent="0.25">
      <c r="D755" s="5" t="s">
        <v>1385</v>
      </c>
      <c r="E755" s="5" t="s">
        <v>1386</v>
      </c>
      <c r="F7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55" s="2" t="str">
        <f>IF(Table1[[#This Row],[Type]]="Major",Table1[[#This Row],[Major Group]],G754)</f>
        <v>39-0000</v>
      </c>
      <c r="H755" s="2" t="str">
        <f>IF(Table1[[#This Row],[Major Group]]&lt;&gt;"","n/a",IF(Table1[[#This Row],[Minor Group]]&lt;&gt;"",Table1[[#This Row],[Minor Group]],H754))</f>
        <v>39-3000</v>
      </c>
      <c r="I755" s="2" t="str">
        <f>IF(Table1[[#This Row],[Major Group]]&lt;&gt;"","n/a",IF(Table1[[#This Row],[Minor Group]]&lt;&gt;"","n/a",IF(Table1[[#This Row],[Broad Group]]&lt;&gt;"",Table1[[#This Row],[Broad Group]],I754)))</f>
        <v>39-3010</v>
      </c>
      <c r="J7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Occupation]],J754))))</f>
        <v>39-3011</v>
      </c>
      <c r="K755" s="2" t="str">
        <f>Table1[[#This Row],[Group Name]]</f>
        <v>Gambling Dealers</v>
      </c>
    </row>
    <row r="756" spans="2:11" ht="25.5" x14ac:dyDescent="0.25">
      <c r="D756" s="5" t="s">
        <v>1387</v>
      </c>
      <c r="E756" s="5" t="s">
        <v>1388</v>
      </c>
      <c r="F7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56" s="2" t="str">
        <f>IF(Table1[[#This Row],[Type]]="Major",Table1[[#This Row],[Major Group]],G755)</f>
        <v>39-0000</v>
      </c>
      <c r="H756" s="2" t="str">
        <f>IF(Table1[[#This Row],[Major Group]]&lt;&gt;"","n/a",IF(Table1[[#This Row],[Minor Group]]&lt;&gt;"",Table1[[#This Row],[Minor Group]],H755))</f>
        <v>39-3000</v>
      </c>
      <c r="I756" s="2" t="str">
        <f>IF(Table1[[#This Row],[Major Group]]&lt;&gt;"","n/a",IF(Table1[[#This Row],[Minor Group]]&lt;&gt;"","n/a",IF(Table1[[#This Row],[Broad Group]]&lt;&gt;"",Table1[[#This Row],[Broad Group]],I755)))</f>
        <v>39-3010</v>
      </c>
      <c r="J7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Occupation]],J755))))</f>
        <v>39-3012</v>
      </c>
      <c r="K756" s="2" t="str">
        <f>Table1[[#This Row],[Group Name]]</f>
        <v>Gambling and Sports Book Writers and Runners</v>
      </c>
    </row>
    <row r="757" spans="2:11" x14ac:dyDescent="0.25">
      <c r="D757" s="5" t="s">
        <v>1389</v>
      </c>
      <c r="E757" s="5" t="s">
        <v>1390</v>
      </c>
      <c r="F7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57" s="2" t="str">
        <f>IF(Table1[[#This Row],[Type]]="Major",Table1[[#This Row],[Major Group]],G756)</f>
        <v>39-0000</v>
      </c>
      <c r="H757" s="2" t="str">
        <f>IF(Table1[[#This Row],[Major Group]]&lt;&gt;"","n/a",IF(Table1[[#This Row],[Minor Group]]&lt;&gt;"",Table1[[#This Row],[Minor Group]],H756))</f>
        <v>39-3000</v>
      </c>
      <c r="I757" s="2" t="str">
        <f>IF(Table1[[#This Row],[Major Group]]&lt;&gt;"","n/a",IF(Table1[[#This Row],[Minor Group]]&lt;&gt;"","n/a",IF(Table1[[#This Row],[Broad Group]]&lt;&gt;"",Table1[[#This Row],[Broad Group]],I756)))</f>
        <v>39-3010</v>
      </c>
      <c r="J7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Occupation]],J756))))</f>
        <v>39-3019</v>
      </c>
      <c r="K757" s="2" t="str">
        <f>Table1[[#This Row],[Group Name]]</f>
        <v>Gambling Service Workers, All Other</v>
      </c>
    </row>
    <row r="758" spans="2:11" x14ac:dyDescent="0.25">
      <c r="C758" s="1" t="s">
        <v>1391</v>
      </c>
      <c r="E758" s="1" t="s">
        <v>1392</v>
      </c>
      <c r="F7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58" s="2" t="str">
        <f>IF(Table1[[#This Row],[Type]]="Major",Table1[[#This Row],[Major Group]],G757)</f>
        <v>39-0000</v>
      </c>
      <c r="H758" s="2" t="str">
        <f>IF(Table1[[#This Row],[Major Group]]&lt;&gt;"","n/a",IF(Table1[[#This Row],[Minor Group]]&lt;&gt;"",Table1[[#This Row],[Minor Group]],H757))</f>
        <v>39-3000</v>
      </c>
      <c r="I758" s="2" t="str">
        <f>IF(Table1[[#This Row],[Major Group]]&lt;&gt;"","n/a",IF(Table1[[#This Row],[Minor Group]]&lt;&gt;"","n/a",IF(Table1[[#This Row],[Broad Group]]&lt;&gt;"",Table1[[#This Row],[Broad Group]],I757)))</f>
        <v>39-3020</v>
      </c>
      <c r="J7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Occupation]],J757))))</f>
        <v>n/a</v>
      </c>
      <c r="K758" s="2" t="str">
        <f>Table1[[#This Row],[Group Name]]</f>
        <v>Motion Picture Projectionists</v>
      </c>
    </row>
    <row r="759" spans="2:11" x14ac:dyDescent="0.25">
      <c r="D759" s="5" t="s">
        <v>1393</v>
      </c>
      <c r="E759" s="5" t="s">
        <v>1392</v>
      </c>
      <c r="F7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59" s="2" t="str">
        <f>IF(Table1[[#This Row],[Type]]="Major",Table1[[#This Row],[Major Group]],G758)</f>
        <v>39-0000</v>
      </c>
      <c r="H759" s="2" t="str">
        <f>IF(Table1[[#This Row],[Major Group]]&lt;&gt;"","n/a",IF(Table1[[#This Row],[Minor Group]]&lt;&gt;"",Table1[[#This Row],[Minor Group]],H758))</f>
        <v>39-3000</v>
      </c>
      <c r="I759" s="2" t="str">
        <f>IF(Table1[[#This Row],[Major Group]]&lt;&gt;"","n/a",IF(Table1[[#This Row],[Minor Group]]&lt;&gt;"","n/a",IF(Table1[[#This Row],[Broad Group]]&lt;&gt;"",Table1[[#This Row],[Broad Group]],I758)))</f>
        <v>39-3020</v>
      </c>
      <c r="J7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Occupation]],J758))))</f>
        <v>39-3021</v>
      </c>
      <c r="K759" s="2" t="str">
        <f>Table1[[#This Row],[Group Name]]</f>
        <v>Motion Picture Projectionists</v>
      </c>
    </row>
    <row r="760" spans="2:11" ht="30" x14ac:dyDescent="0.25">
      <c r="C760" s="1" t="s">
        <v>1394</v>
      </c>
      <c r="E760" s="1" t="s">
        <v>1395</v>
      </c>
      <c r="F7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60" s="2" t="str">
        <f>IF(Table1[[#This Row],[Type]]="Major",Table1[[#This Row],[Major Group]],G759)</f>
        <v>39-0000</v>
      </c>
      <c r="H760" s="2" t="str">
        <f>IF(Table1[[#This Row],[Major Group]]&lt;&gt;"","n/a",IF(Table1[[#This Row],[Minor Group]]&lt;&gt;"",Table1[[#This Row],[Minor Group]],H759))</f>
        <v>39-3000</v>
      </c>
      <c r="I760" s="2" t="str">
        <f>IF(Table1[[#This Row],[Major Group]]&lt;&gt;"","n/a",IF(Table1[[#This Row],[Minor Group]]&lt;&gt;"","n/a",IF(Table1[[#This Row],[Broad Group]]&lt;&gt;"",Table1[[#This Row],[Broad Group]],I759)))</f>
        <v>39-3030</v>
      </c>
      <c r="J7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Occupation]],J759))))</f>
        <v>n/a</v>
      </c>
      <c r="K760" s="2" t="str">
        <f>Table1[[#This Row],[Group Name]]</f>
        <v>Ushers, Lobby Attendants, and Ticket Takers</v>
      </c>
    </row>
    <row r="761" spans="2:11" ht="25.5" x14ac:dyDescent="0.25">
      <c r="D761" s="5" t="s">
        <v>1396</v>
      </c>
      <c r="E761" s="5" t="s">
        <v>1395</v>
      </c>
      <c r="F7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61" s="2" t="str">
        <f>IF(Table1[[#This Row],[Type]]="Major",Table1[[#This Row],[Major Group]],G760)</f>
        <v>39-0000</v>
      </c>
      <c r="H761" s="2" t="str">
        <f>IF(Table1[[#This Row],[Major Group]]&lt;&gt;"","n/a",IF(Table1[[#This Row],[Minor Group]]&lt;&gt;"",Table1[[#This Row],[Minor Group]],H760))</f>
        <v>39-3000</v>
      </c>
      <c r="I761" s="2" t="str">
        <f>IF(Table1[[#This Row],[Major Group]]&lt;&gt;"","n/a",IF(Table1[[#This Row],[Minor Group]]&lt;&gt;"","n/a",IF(Table1[[#This Row],[Broad Group]]&lt;&gt;"",Table1[[#This Row],[Broad Group]],I760)))</f>
        <v>39-3030</v>
      </c>
      <c r="J7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Occupation]],J760))))</f>
        <v>39-3031</v>
      </c>
      <c r="K761" s="2" t="str">
        <f>Table1[[#This Row],[Group Name]]</f>
        <v>Ushers, Lobby Attendants, and Ticket Takers</v>
      </c>
    </row>
    <row r="762" spans="2:11" ht="30" x14ac:dyDescent="0.25">
      <c r="C762" s="1" t="s">
        <v>1397</v>
      </c>
      <c r="E762" s="1" t="s">
        <v>1398</v>
      </c>
      <c r="F7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62" s="2" t="str">
        <f>IF(Table1[[#This Row],[Type]]="Major",Table1[[#This Row],[Major Group]],G761)</f>
        <v>39-0000</v>
      </c>
      <c r="H762" s="2" t="str">
        <f>IF(Table1[[#This Row],[Major Group]]&lt;&gt;"","n/a",IF(Table1[[#This Row],[Minor Group]]&lt;&gt;"",Table1[[#This Row],[Minor Group]],H761))</f>
        <v>39-3000</v>
      </c>
      <c r="I762" s="2" t="str">
        <f>IF(Table1[[#This Row],[Major Group]]&lt;&gt;"","n/a",IF(Table1[[#This Row],[Minor Group]]&lt;&gt;"","n/a",IF(Table1[[#This Row],[Broad Group]]&lt;&gt;"",Table1[[#This Row],[Broad Group]],I761)))</f>
        <v>39-3090</v>
      </c>
      <c r="J7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Occupation]],J761))))</f>
        <v>n/a</v>
      </c>
      <c r="K762" s="2" t="str">
        <f>Table1[[#This Row],[Group Name]]</f>
        <v>Miscellaneous Entertainment Attendants and Related Workers</v>
      </c>
    </row>
    <row r="763" spans="2:11" x14ac:dyDescent="0.25">
      <c r="D763" s="5" t="s">
        <v>1399</v>
      </c>
      <c r="E763" s="5" t="s">
        <v>1400</v>
      </c>
      <c r="F7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63" s="2" t="str">
        <f>IF(Table1[[#This Row],[Type]]="Major",Table1[[#This Row],[Major Group]],G762)</f>
        <v>39-0000</v>
      </c>
      <c r="H763" s="2" t="str">
        <f>IF(Table1[[#This Row],[Major Group]]&lt;&gt;"","n/a",IF(Table1[[#This Row],[Minor Group]]&lt;&gt;"",Table1[[#This Row],[Minor Group]],H762))</f>
        <v>39-3000</v>
      </c>
      <c r="I763" s="2" t="str">
        <f>IF(Table1[[#This Row],[Major Group]]&lt;&gt;"","n/a",IF(Table1[[#This Row],[Minor Group]]&lt;&gt;"","n/a",IF(Table1[[#This Row],[Broad Group]]&lt;&gt;"",Table1[[#This Row],[Broad Group]],I762)))</f>
        <v>39-3090</v>
      </c>
      <c r="J7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Occupation]],J762))))</f>
        <v>39-3091</v>
      </c>
      <c r="K763" s="2" t="str">
        <f>Table1[[#This Row],[Group Name]]</f>
        <v>Amusement and Recreation Attendants</v>
      </c>
    </row>
    <row r="764" spans="2:11" x14ac:dyDescent="0.25">
      <c r="D764" s="5" t="s">
        <v>1401</v>
      </c>
      <c r="E764" s="5" t="s">
        <v>1402</v>
      </c>
      <c r="F7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64" s="2" t="str">
        <f>IF(Table1[[#This Row],[Type]]="Major",Table1[[#This Row],[Major Group]],G763)</f>
        <v>39-0000</v>
      </c>
      <c r="H764" s="2" t="str">
        <f>IF(Table1[[#This Row],[Major Group]]&lt;&gt;"","n/a",IF(Table1[[#This Row],[Minor Group]]&lt;&gt;"",Table1[[#This Row],[Minor Group]],H763))</f>
        <v>39-3000</v>
      </c>
      <c r="I764" s="2" t="str">
        <f>IF(Table1[[#This Row],[Major Group]]&lt;&gt;"","n/a",IF(Table1[[#This Row],[Minor Group]]&lt;&gt;"","n/a",IF(Table1[[#This Row],[Broad Group]]&lt;&gt;"",Table1[[#This Row],[Broad Group]],I763)))</f>
        <v>39-3090</v>
      </c>
      <c r="J7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Occupation]],J763))))</f>
        <v>39-3092</v>
      </c>
      <c r="K764" s="2" t="str">
        <f>Table1[[#This Row],[Group Name]]</f>
        <v>Costume Attendants</v>
      </c>
    </row>
    <row r="765" spans="2:11" ht="25.5" x14ac:dyDescent="0.25">
      <c r="D765" s="5" t="s">
        <v>1403</v>
      </c>
      <c r="E765" s="5" t="s">
        <v>1404</v>
      </c>
      <c r="F7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65" s="2" t="str">
        <f>IF(Table1[[#This Row],[Type]]="Major",Table1[[#This Row],[Major Group]],G764)</f>
        <v>39-0000</v>
      </c>
      <c r="H765" s="2" t="str">
        <f>IF(Table1[[#This Row],[Major Group]]&lt;&gt;"","n/a",IF(Table1[[#This Row],[Minor Group]]&lt;&gt;"",Table1[[#This Row],[Minor Group]],H764))</f>
        <v>39-3000</v>
      </c>
      <c r="I765" s="2" t="str">
        <f>IF(Table1[[#This Row],[Major Group]]&lt;&gt;"","n/a",IF(Table1[[#This Row],[Minor Group]]&lt;&gt;"","n/a",IF(Table1[[#This Row],[Broad Group]]&lt;&gt;"",Table1[[#This Row],[Broad Group]],I764)))</f>
        <v>39-3090</v>
      </c>
      <c r="J7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Occupation]],J764))))</f>
        <v>39-3093</v>
      </c>
      <c r="K765" s="2" t="str">
        <f>Table1[[#This Row],[Group Name]]</f>
        <v>Locker Room, Coatroom, and Dressing Room Attendants</v>
      </c>
    </row>
    <row r="766" spans="2:11" ht="25.5" x14ac:dyDescent="0.25">
      <c r="D766" s="5" t="s">
        <v>1405</v>
      </c>
      <c r="E766" s="5" t="s">
        <v>1406</v>
      </c>
      <c r="F7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66" s="2" t="str">
        <f>IF(Table1[[#This Row],[Type]]="Major",Table1[[#This Row],[Major Group]],G765)</f>
        <v>39-0000</v>
      </c>
      <c r="H766" s="2" t="str">
        <f>IF(Table1[[#This Row],[Major Group]]&lt;&gt;"","n/a",IF(Table1[[#This Row],[Minor Group]]&lt;&gt;"",Table1[[#This Row],[Minor Group]],H765))</f>
        <v>39-3000</v>
      </c>
      <c r="I766" s="2" t="str">
        <f>IF(Table1[[#This Row],[Major Group]]&lt;&gt;"","n/a",IF(Table1[[#This Row],[Minor Group]]&lt;&gt;"","n/a",IF(Table1[[#This Row],[Broad Group]]&lt;&gt;"",Table1[[#This Row],[Broad Group]],I765)))</f>
        <v>39-3090</v>
      </c>
      <c r="J7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Occupation]],J765))))</f>
        <v>39-3099</v>
      </c>
      <c r="K766" s="2" t="str">
        <f>Table1[[#This Row],[Group Name]]</f>
        <v>Entertainment Attendants and Related Workers, All Other</v>
      </c>
    </row>
    <row r="767" spans="2:11" x14ac:dyDescent="0.25">
      <c r="B767" s="3" t="s">
        <v>1407</v>
      </c>
      <c r="E767" s="3" t="s">
        <v>1408</v>
      </c>
      <c r="F7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67" s="2" t="str">
        <f>IF(Table1[[#This Row],[Type]]="Major",Table1[[#This Row],[Major Group]],G766)</f>
        <v>39-0000</v>
      </c>
      <c r="H767" s="2" t="str">
        <f>IF(Table1[[#This Row],[Major Group]]&lt;&gt;"","n/a",IF(Table1[[#This Row],[Minor Group]]&lt;&gt;"",Table1[[#This Row],[Minor Group]],H766))</f>
        <v>39-4000</v>
      </c>
      <c r="I767" s="2" t="str">
        <f>IF(Table1[[#This Row],[Major Group]]&lt;&gt;"","n/a",IF(Table1[[#This Row],[Minor Group]]&lt;&gt;"","n/a",IF(Table1[[#This Row],[Broad Group]]&lt;&gt;"",Table1[[#This Row],[Broad Group]],I766)))</f>
        <v>n/a</v>
      </c>
      <c r="J7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Occupation]],J766))))</f>
        <v>n/a</v>
      </c>
      <c r="K767" s="2" t="str">
        <f>Table1[[#This Row],[Group Name]]</f>
        <v>Funeral Service Workers</v>
      </c>
    </row>
    <row r="768" spans="2:11" ht="30" x14ac:dyDescent="0.25">
      <c r="C768" s="1" t="s">
        <v>1409</v>
      </c>
      <c r="E768" s="1" t="s">
        <v>1410</v>
      </c>
      <c r="F7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68" s="2" t="str">
        <f>IF(Table1[[#This Row],[Type]]="Major",Table1[[#This Row],[Major Group]],G767)</f>
        <v>39-0000</v>
      </c>
      <c r="H768" s="2" t="str">
        <f>IF(Table1[[#This Row],[Major Group]]&lt;&gt;"","n/a",IF(Table1[[#This Row],[Minor Group]]&lt;&gt;"",Table1[[#This Row],[Minor Group]],H767))</f>
        <v>39-4000</v>
      </c>
      <c r="I768" s="2" t="str">
        <f>IF(Table1[[#This Row],[Major Group]]&lt;&gt;"","n/a",IF(Table1[[#This Row],[Minor Group]]&lt;&gt;"","n/a",IF(Table1[[#This Row],[Broad Group]]&lt;&gt;"",Table1[[#This Row],[Broad Group]],I767)))</f>
        <v>39-4010</v>
      </c>
      <c r="J7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Occupation]],J767))))</f>
        <v>n/a</v>
      </c>
      <c r="K768" s="2" t="str">
        <f>Table1[[#This Row],[Group Name]]</f>
        <v>Embalmers and Crematory Operators</v>
      </c>
    </row>
    <row r="769" spans="2:11" x14ac:dyDescent="0.25">
      <c r="D769" s="5" t="s">
        <v>1411</v>
      </c>
      <c r="E769" s="5" t="s">
        <v>1412</v>
      </c>
      <c r="F7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69" s="2" t="str">
        <f>IF(Table1[[#This Row],[Type]]="Major",Table1[[#This Row],[Major Group]],G768)</f>
        <v>39-0000</v>
      </c>
      <c r="H769" s="2" t="str">
        <f>IF(Table1[[#This Row],[Major Group]]&lt;&gt;"","n/a",IF(Table1[[#This Row],[Minor Group]]&lt;&gt;"",Table1[[#This Row],[Minor Group]],H768))</f>
        <v>39-4000</v>
      </c>
      <c r="I769" s="2" t="str">
        <f>IF(Table1[[#This Row],[Major Group]]&lt;&gt;"","n/a",IF(Table1[[#This Row],[Minor Group]]&lt;&gt;"","n/a",IF(Table1[[#This Row],[Broad Group]]&lt;&gt;"",Table1[[#This Row],[Broad Group]],I768)))</f>
        <v>39-4010</v>
      </c>
      <c r="J7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Occupation]],J768))))</f>
        <v>39-4011</v>
      </c>
      <c r="K769" s="2" t="str">
        <f>Table1[[#This Row],[Group Name]]</f>
        <v>Embalmers</v>
      </c>
    </row>
    <row r="770" spans="2:11" x14ac:dyDescent="0.25">
      <c r="D770" s="5" t="s">
        <v>1413</v>
      </c>
      <c r="E770" s="5" t="s">
        <v>1414</v>
      </c>
      <c r="F7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70" s="2" t="str">
        <f>IF(Table1[[#This Row],[Type]]="Major",Table1[[#This Row],[Major Group]],G769)</f>
        <v>39-0000</v>
      </c>
      <c r="H770" s="2" t="str">
        <f>IF(Table1[[#This Row],[Major Group]]&lt;&gt;"","n/a",IF(Table1[[#This Row],[Minor Group]]&lt;&gt;"",Table1[[#This Row],[Minor Group]],H769))</f>
        <v>39-4000</v>
      </c>
      <c r="I770" s="2" t="str">
        <f>IF(Table1[[#This Row],[Major Group]]&lt;&gt;"","n/a",IF(Table1[[#This Row],[Minor Group]]&lt;&gt;"","n/a",IF(Table1[[#This Row],[Broad Group]]&lt;&gt;"",Table1[[#This Row],[Broad Group]],I769)))</f>
        <v>39-4010</v>
      </c>
      <c r="J7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Occupation]],J769))))</f>
        <v>39-4012</v>
      </c>
      <c r="K770" s="2" t="str">
        <f>Table1[[#This Row],[Group Name]]</f>
        <v>Crematory Operators</v>
      </c>
    </row>
    <row r="771" spans="2:11" x14ac:dyDescent="0.25">
      <c r="C771" s="1" t="s">
        <v>1415</v>
      </c>
      <c r="E771" s="1" t="s">
        <v>1416</v>
      </c>
      <c r="F7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71" s="2" t="str">
        <f>IF(Table1[[#This Row],[Type]]="Major",Table1[[#This Row],[Major Group]],G770)</f>
        <v>39-0000</v>
      </c>
      <c r="H771" s="2" t="str">
        <f>IF(Table1[[#This Row],[Major Group]]&lt;&gt;"","n/a",IF(Table1[[#This Row],[Minor Group]]&lt;&gt;"",Table1[[#This Row],[Minor Group]],H770))</f>
        <v>39-4000</v>
      </c>
      <c r="I771" s="2" t="str">
        <f>IF(Table1[[#This Row],[Major Group]]&lt;&gt;"","n/a",IF(Table1[[#This Row],[Minor Group]]&lt;&gt;"","n/a",IF(Table1[[#This Row],[Broad Group]]&lt;&gt;"",Table1[[#This Row],[Broad Group]],I770)))</f>
        <v>39-4020</v>
      </c>
      <c r="J7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Occupation]],J770))))</f>
        <v>n/a</v>
      </c>
      <c r="K771" s="2" t="str">
        <f>Table1[[#This Row],[Group Name]]</f>
        <v>Funeral Attendants</v>
      </c>
    </row>
    <row r="772" spans="2:11" x14ac:dyDescent="0.25">
      <c r="D772" s="5" t="s">
        <v>1417</v>
      </c>
      <c r="E772" s="5" t="s">
        <v>1416</v>
      </c>
      <c r="F7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72" s="2" t="str">
        <f>IF(Table1[[#This Row],[Type]]="Major",Table1[[#This Row],[Major Group]],G771)</f>
        <v>39-0000</v>
      </c>
      <c r="H772" s="2" t="str">
        <f>IF(Table1[[#This Row],[Major Group]]&lt;&gt;"","n/a",IF(Table1[[#This Row],[Minor Group]]&lt;&gt;"",Table1[[#This Row],[Minor Group]],H771))</f>
        <v>39-4000</v>
      </c>
      <c r="I772" s="2" t="str">
        <f>IF(Table1[[#This Row],[Major Group]]&lt;&gt;"","n/a",IF(Table1[[#This Row],[Minor Group]]&lt;&gt;"","n/a",IF(Table1[[#This Row],[Broad Group]]&lt;&gt;"",Table1[[#This Row],[Broad Group]],I771)))</f>
        <v>39-4020</v>
      </c>
      <c r="J7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Occupation]],J771))))</f>
        <v>39-4021</v>
      </c>
      <c r="K772" s="2" t="str">
        <f>Table1[[#This Row],[Group Name]]</f>
        <v>Funeral Attendants</v>
      </c>
    </row>
    <row r="773" spans="2:11" ht="30" x14ac:dyDescent="0.25">
      <c r="C773" s="1" t="s">
        <v>1418</v>
      </c>
      <c r="E773" s="1" t="s">
        <v>1419</v>
      </c>
      <c r="F7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73" s="2" t="str">
        <f>IF(Table1[[#This Row],[Type]]="Major",Table1[[#This Row],[Major Group]],G772)</f>
        <v>39-0000</v>
      </c>
      <c r="H773" s="2" t="str">
        <f>IF(Table1[[#This Row],[Major Group]]&lt;&gt;"","n/a",IF(Table1[[#This Row],[Minor Group]]&lt;&gt;"",Table1[[#This Row],[Minor Group]],H772))</f>
        <v>39-4000</v>
      </c>
      <c r="I773" s="2" t="str">
        <f>IF(Table1[[#This Row],[Major Group]]&lt;&gt;"","n/a",IF(Table1[[#This Row],[Minor Group]]&lt;&gt;"","n/a",IF(Table1[[#This Row],[Broad Group]]&lt;&gt;"",Table1[[#This Row],[Broad Group]],I772)))</f>
        <v>39-4030</v>
      </c>
      <c r="J7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Occupation]],J772))))</f>
        <v>n/a</v>
      </c>
      <c r="K773" s="2" t="str">
        <f>Table1[[#This Row],[Group Name]]</f>
        <v>Morticians, Undertakers, and Funeral Arrangers</v>
      </c>
    </row>
    <row r="774" spans="2:11" ht="25.5" x14ac:dyDescent="0.25">
      <c r="D774" s="5" t="s">
        <v>1420</v>
      </c>
      <c r="E774" s="5" t="s">
        <v>1419</v>
      </c>
      <c r="F7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74" s="2" t="str">
        <f>IF(Table1[[#This Row],[Type]]="Major",Table1[[#This Row],[Major Group]],G773)</f>
        <v>39-0000</v>
      </c>
      <c r="H774" s="2" t="str">
        <f>IF(Table1[[#This Row],[Major Group]]&lt;&gt;"","n/a",IF(Table1[[#This Row],[Minor Group]]&lt;&gt;"",Table1[[#This Row],[Minor Group]],H773))</f>
        <v>39-4000</v>
      </c>
      <c r="I774" s="2" t="str">
        <f>IF(Table1[[#This Row],[Major Group]]&lt;&gt;"","n/a",IF(Table1[[#This Row],[Minor Group]]&lt;&gt;"","n/a",IF(Table1[[#This Row],[Broad Group]]&lt;&gt;"",Table1[[#This Row],[Broad Group]],I773)))</f>
        <v>39-4030</v>
      </c>
      <c r="J7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Occupation]],J773))))</f>
        <v>39-4031</v>
      </c>
      <c r="K774" s="2" t="str">
        <f>Table1[[#This Row],[Group Name]]</f>
        <v>Morticians, Undertakers, and Funeral Arrangers</v>
      </c>
    </row>
    <row r="775" spans="2:11" x14ac:dyDescent="0.25">
      <c r="B775" s="3" t="s">
        <v>1421</v>
      </c>
      <c r="E775" s="3" t="s">
        <v>1422</v>
      </c>
      <c r="F7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75" s="2" t="str">
        <f>IF(Table1[[#This Row],[Type]]="Major",Table1[[#This Row],[Major Group]],G774)</f>
        <v>39-0000</v>
      </c>
      <c r="H775" s="2" t="str">
        <f>IF(Table1[[#This Row],[Major Group]]&lt;&gt;"","n/a",IF(Table1[[#This Row],[Minor Group]]&lt;&gt;"",Table1[[#This Row],[Minor Group]],H774))</f>
        <v>39-5000</v>
      </c>
      <c r="I775" s="2" t="str">
        <f>IF(Table1[[#This Row],[Major Group]]&lt;&gt;"","n/a",IF(Table1[[#This Row],[Minor Group]]&lt;&gt;"","n/a",IF(Table1[[#This Row],[Broad Group]]&lt;&gt;"",Table1[[#This Row],[Broad Group]],I774)))</f>
        <v>n/a</v>
      </c>
      <c r="J7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Occupation]],J774))))</f>
        <v>n/a</v>
      </c>
      <c r="K775" s="2" t="str">
        <f>Table1[[#This Row],[Group Name]]</f>
        <v>Personal Appearance Workers</v>
      </c>
    </row>
    <row r="776" spans="2:11" ht="30" x14ac:dyDescent="0.25">
      <c r="C776" s="1" t="s">
        <v>1423</v>
      </c>
      <c r="E776" s="1" t="s">
        <v>1424</v>
      </c>
      <c r="F7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76" s="2" t="str">
        <f>IF(Table1[[#This Row],[Type]]="Major",Table1[[#This Row],[Major Group]],G775)</f>
        <v>39-0000</v>
      </c>
      <c r="H776" s="2" t="str">
        <f>IF(Table1[[#This Row],[Major Group]]&lt;&gt;"","n/a",IF(Table1[[#This Row],[Minor Group]]&lt;&gt;"",Table1[[#This Row],[Minor Group]],H775))</f>
        <v>39-5000</v>
      </c>
      <c r="I776" s="2" t="str">
        <f>IF(Table1[[#This Row],[Major Group]]&lt;&gt;"","n/a",IF(Table1[[#This Row],[Minor Group]]&lt;&gt;"","n/a",IF(Table1[[#This Row],[Broad Group]]&lt;&gt;"",Table1[[#This Row],[Broad Group]],I775)))</f>
        <v>39-5010</v>
      </c>
      <c r="J7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Occupation]],J775))))</f>
        <v>n/a</v>
      </c>
      <c r="K776" s="2" t="str">
        <f>Table1[[#This Row],[Group Name]]</f>
        <v>Barbers, Hairdressers, Hairstylists and Cosmetologists</v>
      </c>
    </row>
    <row r="777" spans="2:11" x14ac:dyDescent="0.25">
      <c r="D777" s="5" t="s">
        <v>1425</v>
      </c>
      <c r="E777" s="5" t="s">
        <v>1426</v>
      </c>
      <c r="F7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77" s="2" t="str">
        <f>IF(Table1[[#This Row],[Type]]="Major",Table1[[#This Row],[Major Group]],G776)</f>
        <v>39-0000</v>
      </c>
      <c r="H777" s="2" t="str">
        <f>IF(Table1[[#This Row],[Major Group]]&lt;&gt;"","n/a",IF(Table1[[#This Row],[Minor Group]]&lt;&gt;"",Table1[[#This Row],[Minor Group]],H776))</f>
        <v>39-5000</v>
      </c>
      <c r="I777" s="2" t="str">
        <f>IF(Table1[[#This Row],[Major Group]]&lt;&gt;"","n/a",IF(Table1[[#This Row],[Minor Group]]&lt;&gt;"","n/a",IF(Table1[[#This Row],[Broad Group]]&lt;&gt;"",Table1[[#This Row],[Broad Group]],I776)))</f>
        <v>39-5010</v>
      </c>
      <c r="J7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Occupation]],J776))))</f>
        <v>39-5011</v>
      </c>
      <c r="K777" s="2" t="str">
        <f>Table1[[#This Row],[Group Name]]</f>
        <v>Barbers</v>
      </c>
    </row>
    <row r="778" spans="2:11" ht="25.5" x14ac:dyDescent="0.25">
      <c r="D778" s="5" t="s">
        <v>1427</v>
      </c>
      <c r="E778" s="5" t="s">
        <v>1428</v>
      </c>
      <c r="F7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78" s="2" t="str">
        <f>IF(Table1[[#This Row],[Type]]="Major",Table1[[#This Row],[Major Group]],G777)</f>
        <v>39-0000</v>
      </c>
      <c r="H778" s="2" t="str">
        <f>IF(Table1[[#This Row],[Major Group]]&lt;&gt;"","n/a",IF(Table1[[#This Row],[Minor Group]]&lt;&gt;"",Table1[[#This Row],[Minor Group]],H777))</f>
        <v>39-5000</v>
      </c>
      <c r="I778" s="2" t="str">
        <f>IF(Table1[[#This Row],[Major Group]]&lt;&gt;"","n/a",IF(Table1[[#This Row],[Minor Group]]&lt;&gt;"","n/a",IF(Table1[[#This Row],[Broad Group]]&lt;&gt;"",Table1[[#This Row],[Broad Group]],I777)))</f>
        <v>39-5010</v>
      </c>
      <c r="J7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Occupation]],J777))))</f>
        <v>39-5012</v>
      </c>
      <c r="K778" s="2" t="str">
        <f>Table1[[#This Row],[Group Name]]</f>
        <v>Hairdressers, Hairstylists, and Cosmetologists</v>
      </c>
    </row>
    <row r="779" spans="2:11" ht="30" x14ac:dyDescent="0.25">
      <c r="C779" s="1" t="s">
        <v>1429</v>
      </c>
      <c r="E779" s="1" t="s">
        <v>1430</v>
      </c>
      <c r="F7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79" s="2" t="str">
        <f>IF(Table1[[#This Row],[Type]]="Major",Table1[[#This Row],[Major Group]],G778)</f>
        <v>39-0000</v>
      </c>
      <c r="H779" s="2" t="str">
        <f>IF(Table1[[#This Row],[Major Group]]&lt;&gt;"","n/a",IF(Table1[[#This Row],[Minor Group]]&lt;&gt;"",Table1[[#This Row],[Minor Group]],H778))</f>
        <v>39-5000</v>
      </c>
      <c r="I779" s="2" t="str">
        <f>IF(Table1[[#This Row],[Major Group]]&lt;&gt;"","n/a",IF(Table1[[#This Row],[Minor Group]]&lt;&gt;"","n/a",IF(Table1[[#This Row],[Broad Group]]&lt;&gt;"",Table1[[#This Row],[Broad Group]],I778)))</f>
        <v>39-5090</v>
      </c>
      <c r="J7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Occupation]],J778))))</f>
        <v>n/a</v>
      </c>
      <c r="K779" s="2" t="str">
        <f>Table1[[#This Row],[Group Name]]</f>
        <v>Miscellaneous Personal Appearance Workers</v>
      </c>
    </row>
    <row r="780" spans="2:11" ht="25.5" x14ac:dyDescent="0.25">
      <c r="D780" s="5" t="s">
        <v>1431</v>
      </c>
      <c r="E780" s="5" t="s">
        <v>1432</v>
      </c>
      <c r="F7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80" s="2" t="str">
        <f>IF(Table1[[#This Row],[Type]]="Major",Table1[[#This Row],[Major Group]],G779)</f>
        <v>39-0000</v>
      </c>
      <c r="H780" s="2" t="str">
        <f>IF(Table1[[#This Row],[Major Group]]&lt;&gt;"","n/a",IF(Table1[[#This Row],[Minor Group]]&lt;&gt;"",Table1[[#This Row],[Minor Group]],H779))</f>
        <v>39-5000</v>
      </c>
      <c r="I780" s="2" t="str">
        <f>IF(Table1[[#This Row],[Major Group]]&lt;&gt;"","n/a",IF(Table1[[#This Row],[Minor Group]]&lt;&gt;"","n/a",IF(Table1[[#This Row],[Broad Group]]&lt;&gt;"",Table1[[#This Row],[Broad Group]],I779)))</f>
        <v>39-5090</v>
      </c>
      <c r="J7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Occupation]],J779))))</f>
        <v>39-5091</v>
      </c>
      <c r="K780" s="2" t="str">
        <f>Table1[[#This Row],[Group Name]]</f>
        <v>Makeup Artists, Theatrical and Performance</v>
      </c>
    </row>
    <row r="781" spans="2:11" x14ac:dyDescent="0.25">
      <c r="D781" s="5" t="s">
        <v>1433</v>
      </c>
      <c r="E781" s="5" t="s">
        <v>1434</v>
      </c>
      <c r="F7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81" s="2" t="str">
        <f>IF(Table1[[#This Row],[Type]]="Major",Table1[[#This Row],[Major Group]],G780)</f>
        <v>39-0000</v>
      </c>
      <c r="H781" s="2" t="str">
        <f>IF(Table1[[#This Row],[Major Group]]&lt;&gt;"","n/a",IF(Table1[[#This Row],[Minor Group]]&lt;&gt;"",Table1[[#This Row],[Minor Group]],H780))</f>
        <v>39-5000</v>
      </c>
      <c r="I781" s="2" t="str">
        <f>IF(Table1[[#This Row],[Major Group]]&lt;&gt;"","n/a",IF(Table1[[#This Row],[Minor Group]]&lt;&gt;"","n/a",IF(Table1[[#This Row],[Broad Group]]&lt;&gt;"",Table1[[#This Row],[Broad Group]],I780)))</f>
        <v>39-5090</v>
      </c>
      <c r="J7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Occupation]],J780))))</f>
        <v>39-5092</v>
      </c>
      <c r="K781" s="2" t="str">
        <f>Table1[[#This Row],[Group Name]]</f>
        <v>Manicurists and Pedicurists</v>
      </c>
    </row>
    <row r="782" spans="2:11" x14ac:dyDescent="0.25">
      <c r="D782" s="5" t="s">
        <v>1435</v>
      </c>
      <c r="E782" s="5" t="s">
        <v>1436</v>
      </c>
      <c r="F7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82" s="2" t="str">
        <f>IF(Table1[[#This Row],[Type]]="Major",Table1[[#This Row],[Major Group]],G781)</f>
        <v>39-0000</v>
      </c>
      <c r="H782" s="2" t="str">
        <f>IF(Table1[[#This Row],[Major Group]]&lt;&gt;"","n/a",IF(Table1[[#This Row],[Minor Group]]&lt;&gt;"",Table1[[#This Row],[Minor Group]],H781))</f>
        <v>39-5000</v>
      </c>
      <c r="I782" s="2" t="str">
        <f>IF(Table1[[#This Row],[Major Group]]&lt;&gt;"","n/a",IF(Table1[[#This Row],[Minor Group]]&lt;&gt;"","n/a",IF(Table1[[#This Row],[Broad Group]]&lt;&gt;"",Table1[[#This Row],[Broad Group]],I781)))</f>
        <v>39-5090</v>
      </c>
      <c r="J7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Occupation]],J781))))</f>
        <v>39-5093</v>
      </c>
      <c r="K782" s="2" t="str">
        <f>Table1[[#This Row],[Group Name]]</f>
        <v>Shampooers</v>
      </c>
    </row>
    <row r="783" spans="2:11" x14ac:dyDescent="0.25">
      <c r="D783" s="5" t="s">
        <v>1437</v>
      </c>
      <c r="E783" s="5" t="s">
        <v>1438</v>
      </c>
      <c r="F7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83" s="2" t="str">
        <f>IF(Table1[[#This Row],[Type]]="Major",Table1[[#This Row],[Major Group]],G782)</f>
        <v>39-0000</v>
      </c>
      <c r="H783" s="2" t="str">
        <f>IF(Table1[[#This Row],[Major Group]]&lt;&gt;"","n/a",IF(Table1[[#This Row],[Minor Group]]&lt;&gt;"",Table1[[#This Row],[Minor Group]],H782))</f>
        <v>39-5000</v>
      </c>
      <c r="I783" s="2" t="str">
        <f>IF(Table1[[#This Row],[Major Group]]&lt;&gt;"","n/a",IF(Table1[[#This Row],[Minor Group]]&lt;&gt;"","n/a",IF(Table1[[#This Row],[Broad Group]]&lt;&gt;"",Table1[[#This Row],[Broad Group]],I782)))</f>
        <v>39-5090</v>
      </c>
      <c r="J7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Occupation]],J782))))</f>
        <v>39-5094</v>
      </c>
      <c r="K783" s="2" t="str">
        <f>Table1[[#This Row],[Group Name]]</f>
        <v>Skincare Specialists</v>
      </c>
    </row>
    <row r="784" spans="2:11" x14ac:dyDescent="0.25">
      <c r="B784" s="3" t="s">
        <v>1439</v>
      </c>
      <c r="E784" s="3" t="s">
        <v>1440</v>
      </c>
      <c r="F7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84" s="2" t="str">
        <f>IF(Table1[[#This Row],[Type]]="Major",Table1[[#This Row],[Major Group]],G783)</f>
        <v>39-0000</v>
      </c>
      <c r="H784" s="2" t="str">
        <f>IF(Table1[[#This Row],[Major Group]]&lt;&gt;"","n/a",IF(Table1[[#This Row],[Minor Group]]&lt;&gt;"",Table1[[#This Row],[Minor Group]],H783))</f>
        <v>39-6000</v>
      </c>
      <c r="I784" s="2" t="str">
        <f>IF(Table1[[#This Row],[Major Group]]&lt;&gt;"","n/a",IF(Table1[[#This Row],[Minor Group]]&lt;&gt;"","n/a",IF(Table1[[#This Row],[Broad Group]]&lt;&gt;"",Table1[[#This Row],[Broad Group]],I783)))</f>
        <v>n/a</v>
      </c>
      <c r="J7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Occupation]],J783))))</f>
        <v>n/a</v>
      </c>
      <c r="K784" s="2" t="str">
        <f>Table1[[#This Row],[Group Name]]</f>
        <v>Baggage Porters, Bellhops, and Concierges</v>
      </c>
    </row>
    <row r="785" spans="2:11" ht="30" x14ac:dyDescent="0.25">
      <c r="C785" s="1" t="s">
        <v>1441</v>
      </c>
      <c r="E785" s="1" t="s">
        <v>1440</v>
      </c>
      <c r="F7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85" s="2" t="str">
        <f>IF(Table1[[#This Row],[Type]]="Major",Table1[[#This Row],[Major Group]],G784)</f>
        <v>39-0000</v>
      </c>
      <c r="H785" s="2" t="str">
        <f>IF(Table1[[#This Row],[Major Group]]&lt;&gt;"","n/a",IF(Table1[[#This Row],[Minor Group]]&lt;&gt;"",Table1[[#This Row],[Minor Group]],H784))</f>
        <v>39-6000</v>
      </c>
      <c r="I785" s="2" t="str">
        <f>IF(Table1[[#This Row],[Major Group]]&lt;&gt;"","n/a",IF(Table1[[#This Row],[Minor Group]]&lt;&gt;"","n/a",IF(Table1[[#This Row],[Broad Group]]&lt;&gt;"",Table1[[#This Row],[Broad Group]],I784)))</f>
        <v>39-6010</v>
      </c>
      <c r="J7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Occupation]],J784))))</f>
        <v>n/a</v>
      </c>
      <c r="K785" s="2" t="str">
        <f>Table1[[#This Row],[Group Name]]</f>
        <v>Baggage Porters, Bellhops, and Concierges</v>
      </c>
    </row>
    <row r="786" spans="2:11" x14ac:dyDescent="0.25">
      <c r="D786" s="5" t="s">
        <v>1442</v>
      </c>
      <c r="E786" s="5" t="s">
        <v>1443</v>
      </c>
      <c r="F7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86" s="2" t="str">
        <f>IF(Table1[[#This Row],[Type]]="Major",Table1[[#This Row],[Major Group]],G785)</f>
        <v>39-0000</v>
      </c>
      <c r="H786" s="2" t="str">
        <f>IF(Table1[[#This Row],[Major Group]]&lt;&gt;"","n/a",IF(Table1[[#This Row],[Minor Group]]&lt;&gt;"",Table1[[#This Row],[Minor Group]],H785))</f>
        <v>39-6000</v>
      </c>
      <c r="I786" s="2" t="str">
        <f>IF(Table1[[#This Row],[Major Group]]&lt;&gt;"","n/a",IF(Table1[[#This Row],[Minor Group]]&lt;&gt;"","n/a",IF(Table1[[#This Row],[Broad Group]]&lt;&gt;"",Table1[[#This Row],[Broad Group]],I785)))</f>
        <v>39-6010</v>
      </c>
      <c r="J7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Occupation]],J785))))</f>
        <v>39-6011</v>
      </c>
      <c r="K786" s="2" t="str">
        <f>Table1[[#This Row],[Group Name]]</f>
        <v>Baggage Porters and Bellhops</v>
      </c>
    </row>
    <row r="787" spans="2:11" x14ac:dyDescent="0.25">
      <c r="D787" s="5" t="s">
        <v>1444</v>
      </c>
      <c r="E787" s="5" t="s">
        <v>1445</v>
      </c>
      <c r="F7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87" s="2" t="str">
        <f>IF(Table1[[#This Row],[Type]]="Major",Table1[[#This Row],[Major Group]],G786)</f>
        <v>39-0000</v>
      </c>
      <c r="H787" s="2" t="str">
        <f>IF(Table1[[#This Row],[Major Group]]&lt;&gt;"","n/a",IF(Table1[[#This Row],[Minor Group]]&lt;&gt;"",Table1[[#This Row],[Minor Group]],H786))</f>
        <v>39-6000</v>
      </c>
      <c r="I787" s="2" t="str">
        <f>IF(Table1[[#This Row],[Major Group]]&lt;&gt;"","n/a",IF(Table1[[#This Row],[Minor Group]]&lt;&gt;"","n/a",IF(Table1[[#This Row],[Broad Group]]&lt;&gt;"",Table1[[#This Row],[Broad Group]],I786)))</f>
        <v>39-6010</v>
      </c>
      <c r="J7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Occupation]],J786))))</f>
        <v>39-6012</v>
      </c>
      <c r="K787" s="2" t="str">
        <f>Table1[[#This Row],[Group Name]]</f>
        <v>Concierges</v>
      </c>
    </row>
    <row r="788" spans="2:11" x14ac:dyDescent="0.25">
      <c r="B788" s="3" t="s">
        <v>1446</v>
      </c>
      <c r="E788" s="3" t="s">
        <v>1447</v>
      </c>
      <c r="F7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88" s="2" t="str">
        <f>IF(Table1[[#This Row],[Type]]="Major",Table1[[#This Row],[Major Group]],G787)</f>
        <v>39-0000</v>
      </c>
      <c r="H788" s="2" t="str">
        <f>IF(Table1[[#This Row],[Major Group]]&lt;&gt;"","n/a",IF(Table1[[#This Row],[Minor Group]]&lt;&gt;"",Table1[[#This Row],[Minor Group]],H787))</f>
        <v>39-7000</v>
      </c>
      <c r="I788" s="2" t="str">
        <f>IF(Table1[[#This Row],[Major Group]]&lt;&gt;"","n/a",IF(Table1[[#This Row],[Minor Group]]&lt;&gt;"","n/a",IF(Table1[[#This Row],[Broad Group]]&lt;&gt;"",Table1[[#This Row],[Broad Group]],I787)))</f>
        <v>n/a</v>
      </c>
      <c r="J7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Occupation]],J787))))</f>
        <v>n/a</v>
      </c>
      <c r="K788" s="2" t="str">
        <f>Table1[[#This Row],[Group Name]]</f>
        <v>Tour and Travel Guides</v>
      </c>
    </row>
    <row r="789" spans="2:11" x14ac:dyDescent="0.25">
      <c r="C789" s="1" t="s">
        <v>1448</v>
      </c>
      <c r="E789" s="1" t="s">
        <v>1447</v>
      </c>
      <c r="F7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89" s="2" t="str">
        <f>IF(Table1[[#This Row],[Type]]="Major",Table1[[#This Row],[Major Group]],G788)</f>
        <v>39-0000</v>
      </c>
      <c r="H789" s="2" t="str">
        <f>IF(Table1[[#This Row],[Major Group]]&lt;&gt;"","n/a",IF(Table1[[#This Row],[Minor Group]]&lt;&gt;"",Table1[[#This Row],[Minor Group]],H788))</f>
        <v>39-7000</v>
      </c>
      <c r="I789" s="2" t="str">
        <f>IF(Table1[[#This Row],[Major Group]]&lt;&gt;"","n/a",IF(Table1[[#This Row],[Minor Group]]&lt;&gt;"","n/a",IF(Table1[[#This Row],[Broad Group]]&lt;&gt;"",Table1[[#This Row],[Broad Group]],I788)))</f>
        <v>39-7010</v>
      </c>
      <c r="J7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Occupation]],J788))))</f>
        <v>n/a</v>
      </c>
      <c r="K789" s="2" t="str">
        <f>Table1[[#This Row],[Group Name]]</f>
        <v>Tour and Travel Guides</v>
      </c>
    </row>
    <row r="790" spans="2:11" x14ac:dyDescent="0.25">
      <c r="D790" s="5" t="s">
        <v>1449</v>
      </c>
      <c r="E790" s="5" t="s">
        <v>1450</v>
      </c>
      <c r="F7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90" s="2" t="str">
        <f>IF(Table1[[#This Row],[Type]]="Major",Table1[[#This Row],[Major Group]],G789)</f>
        <v>39-0000</v>
      </c>
      <c r="H790" s="2" t="str">
        <f>IF(Table1[[#This Row],[Major Group]]&lt;&gt;"","n/a",IF(Table1[[#This Row],[Minor Group]]&lt;&gt;"",Table1[[#This Row],[Minor Group]],H789))</f>
        <v>39-7000</v>
      </c>
      <c r="I790" s="2" t="str">
        <f>IF(Table1[[#This Row],[Major Group]]&lt;&gt;"","n/a",IF(Table1[[#This Row],[Minor Group]]&lt;&gt;"","n/a",IF(Table1[[#This Row],[Broad Group]]&lt;&gt;"",Table1[[#This Row],[Broad Group]],I789)))</f>
        <v>39-7010</v>
      </c>
      <c r="J7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Occupation]],J789))))</f>
        <v>39-7011</v>
      </c>
      <c r="K790" s="2" t="str">
        <f>Table1[[#This Row],[Group Name]]</f>
        <v>Tour Guides and Escorts</v>
      </c>
    </row>
    <row r="791" spans="2:11" x14ac:dyDescent="0.25">
      <c r="D791" s="5" t="s">
        <v>1451</v>
      </c>
      <c r="E791" s="5" t="s">
        <v>1452</v>
      </c>
      <c r="F7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91" s="2" t="str">
        <f>IF(Table1[[#This Row],[Type]]="Major",Table1[[#This Row],[Major Group]],G790)</f>
        <v>39-0000</v>
      </c>
      <c r="H791" s="2" t="str">
        <f>IF(Table1[[#This Row],[Major Group]]&lt;&gt;"","n/a",IF(Table1[[#This Row],[Minor Group]]&lt;&gt;"",Table1[[#This Row],[Minor Group]],H790))</f>
        <v>39-7000</v>
      </c>
      <c r="I791" s="2" t="str">
        <f>IF(Table1[[#This Row],[Major Group]]&lt;&gt;"","n/a",IF(Table1[[#This Row],[Minor Group]]&lt;&gt;"","n/a",IF(Table1[[#This Row],[Broad Group]]&lt;&gt;"",Table1[[#This Row],[Broad Group]],I790)))</f>
        <v>39-7010</v>
      </c>
      <c r="J7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Occupation]],J790))))</f>
        <v>39-7012</v>
      </c>
      <c r="K791" s="2" t="str">
        <f>Table1[[#This Row],[Group Name]]</f>
        <v>Travel Guides</v>
      </c>
    </row>
    <row r="792" spans="2:11" x14ac:dyDescent="0.25">
      <c r="B792" s="3" t="s">
        <v>1453</v>
      </c>
      <c r="E792" s="3" t="s">
        <v>1454</v>
      </c>
      <c r="F7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792" s="2" t="str">
        <f>IF(Table1[[#This Row],[Type]]="Major",Table1[[#This Row],[Major Group]],G791)</f>
        <v>39-0000</v>
      </c>
      <c r="H792" s="2" t="str">
        <f>IF(Table1[[#This Row],[Major Group]]&lt;&gt;"","n/a",IF(Table1[[#This Row],[Minor Group]]&lt;&gt;"",Table1[[#This Row],[Minor Group]],H791))</f>
        <v>39-9000</v>
      </c>
      <c r="I792" s="2" t="str">
        <f>IF(Table1[[#This Row],[Major Group]]&lt;&gt;"","n/a",IF(Table1[[#This Row],[Minor Group]]&lt;&gt;"","n/a",IF(Table1[[#This Row],[Broad Group]]&lt;&gt;"",Table1[[#This Row],[Broad Group]],I791)))</f>
        <v>n/a</v>
      </c>
      <c r="J7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Occupation]],J791))))</f>
        <v>n/a</v>
      </c>
      <c r="K792" s="2" t="str">
        <f>Table1[[#This Row],[Group Name]]</f>
        <v>Other Personal Care and Service Workers</v>
      </c>
    </row>
    <row r="793" spans="2:11" x14ac:dyDescent="0.25">
      <c r="C793" s="1" t="s">
        <v>1455</v>
      </c>
      <c r="E793" s="1" t="s">
        <v>1456</v>
      </c>
      <c r="F7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93" s="2" t="str">
        <f>IF(Table1[[#This Row],[Type]]="Major",Table1[[#This Row],[Major Group]],G792)</f>
        <v>39-0000</v>
      </c>
      <c r="H793" s="2" t="str">
        <f>IF(Table1[[#This Row],[Major Group]]&lt;&gt;"","n/a",IF(Table1[[#This Row],[Minor Group]]&lt;&gt;"",Table1[[#This Row],[Minor Group]],H792))</f>
        <v>39-9000</v>
      </c>
      <c r="I793" s="2" t="str">
        <f>IF(Table1[[#This Row],[Major Group]]&lt;&gt;"","n/a",IF(Table1[[#This Row],[Minor Group]]&lt;&gt;"","n/a",IF(Table1[[#This Row],[Broad Group]]&lt;&gt;"",Table1[[#This Row],[Broad Group]],I792)))</f>
        <v>39-9010</v>
      </c>
      <c r="J7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Occupation]],J792))))</f>
        <v>n/a</v>
      </c>
      <c r="K793" s="2" t="str">
        <f>Table1[[#This Row],[Group Name]]</f>
        <v>Childcare Workers</v>
      </c>
    </row>
    <row r="794" spans="2:11" x14ac:dyDescent="0.25">
      <c r="D794" s="5" t="s">
        <v>1457</v>
      </c>
      <c r="E794" s="5" t="s">
        <v>1456</v>
      </c>
      <c r="F7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94" s="2" t="str">
        <f>IF(Table1[[#This Row],[Type]]="Major",Table1[[#This Row],[Major Group]],G793)</f>
        <v>39-0000</v>
      </c>
      <c r="H794" s="2" t="str">
        <f>IF(Table1[[#This Row],[Major Group]]&lt;&gt;"","n/a",IF(Table1[[#This Row],[Minor Group]]&lt;&gt;"",Table1[[#This Row],[Minor Group]],H793))</f>
        <v>39-9000</v>
      </c>
      <c r="I794" s="2" t="str">
        <f>IF(Table1[[#This Row],[Major Group]]&lt;&gt;"","n/a",IF(Table1[[#This Row],[Minor Group]]&lt;&gt;"","n/a",IF(Table1[[#This Row],[Broad Group]]&lt;&gt;"",Table1[[#This Row],[Broad Group]],I793)))</f>
        <v>39-9010</v>
      </c>
      <c r="J7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Occupation]],J793))))</f>
        <v>39-9011</v>
      </c>
      <c r="K794" s="2" t="str">
        <f>Table1[[#This Row],[Group Name]]</f>
        <v>Childcare Workers</v>
      </c>
    </row>
    <row r="795" spans="2:11" x14ac:dyDescent="0.25">
      <c r="C795" s="1" t="s">
        <v>1458</v>
      </c>
      <c r="E795" s="1" t="s">
        <v>1459</v>
      </c>
      <c r="F7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95" s="2" t="str">
        <f>IF(Table1[[#This Row],[Type]]="Major",Table1[[#This Row],[Major Group]],G794)</f>
        <v>39-0000</v>
      </c>
      <c r="H795" s="2" t="str">
        <f>IF(Table1[[#This Row],[Major Group]]&lt;&gt;"","n/a",IF(Table1[[#This Row],[Minor Group]]&lt;&gt;"",Table1[[#This Row],[Minor Group]],H794))</f>
        <v>39-9000</v>
      </c>
      <c r="I795" s="2" t="str">
        <f>IF(Table1[[#This Row],[Major Group]]&lt;&gt;"","n/a",IF(Table1[[#This Row],[Minor Group]]&lt;&gt;"","n/a",IF(Table1[[#This Row],[Broad Group]]&lt;&gt;"",Table1[[#This Row],[Broad Group]],I794)))</f>
        <v>39-9030</v>
      </c>
      <c r="J7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Occupation]],J794))))</f>
        <v>n/a</v>
      </c>
      <c r="K795" s="2" t="str">
        <f>Table1[[#This Row],[Group Name]]</f>
        <v>Recreation and Fitness Workers</v>
      </c>
    </row>
    <row r="796" spans="2:11" ht="25.5" x14ac:dyDescent="0.25">
      <c r="D796" s="5" t="s">
        <v>1460</v>
      </c>
      <c r="E796" s="5" t="s">
        <v>1461</v>
      </c>
      <c r="F7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96" s="2" t="str">
        <f>IF(Table1[[#This Row],[Type]]="Major",Table1[[#This Row],[Major Group]],G795)</f>
        <v>39-0000</v>
      </c>
      <c r="H796" s="2" t="str">
        <f>IF(Table1[[#This Row],[Major Group]]&lt;&gt;"","n/a",IF(Table1[[#This Row],[Minor Group]]&lt;&gt;"",Table1[[#This Row],[Minor Group]],H795))</f>
        <v>39-9000</v>
      </c>
      <c r="I796" s="2" t="str">
        <f>IF(Table1[[#This Row],[Major Group]]&lt;&gt;"","n/a",IF(Table1[[#This Row],[Minor Group]]&lt;&gt;"","n/a",IF(Table1[[#This Row],[Broad Group]]&lt;&gt;"",Table1[[#This Row],[Broad Group]],I795)))</f>
        <v>39-9030</v>
      </c>
      <c r="J7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Occupation]],J795))))</f>
        <v>39-9031</v>
      </c>
      <c r="K796" s="2" t="str">
        <f>Table1[[#This Row],[Group Name]]</f>
        <v>Exercise Trainers and Group Fitness Instructors</v>
      </c>
    </row>
    <row r="797" spans="2:11" x14ac:dyDescent="0.25">
      <c r="D797" s="5" t="s">
        <v>1462</v>
      </c>
      <c r="E797" s="5" t="s">
        <v>1463</v>
      </c>
      <c r="F7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97" s="2" t="str">
        <f>IF(Table1[[#This Row],[Type]]="Major",Table1[[#This Row],[Major Group]],G796)</f>
        <v>39-0000</v>
      </c>
      <c r="H797" s="2" t="str">
        <f>IF(Table1[[#This Row],[Major Group]]&lt;&gt;"","n/a",IF(Table1[[#This Row],[Minor Group]]&lt;&gt;"",Table1[[#This Row],[Minor Group]],H796))</f>
        <v>39-9000</v>
      </c>
      <c r="I797" s="2" t="str">
        <f>IF(Table1[[#This Row],[Major Group]]&lt;&gt;"","n/a",IF(Table1[[#This Row],[Minor Group]]&lt;&gt;"","n/a",IF(Table1[[#This Row],[Broad Group]]&lt;&gt;"",Table1[[#This Row],[Broad Group]],I796)))</f>
        <v>39-9030</v>
      </c>
      <c r="J7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Occupation]],J796))))</f>
        <v>39-9032</v>
      </c>
      <c r="K797" s="2" t="str">
        <f>Table1[[#This Row],[Group Name]]</f>
        <v>Recreation Workers</v>
      </c>
    </row>
    <row r="798" spans="2:11" x14ac:dyDescent="0.25">
      <c r="C798" s="1" t="s">
        <v>1464</v>
      </c>
      <c r="E798" s="1" t="s">
        <v>1465</v>
      </c>
      <c r="F7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798" s="2" t="str">
        <f>IF(Table1[[#This Row],[Type]]="Major",Table1[[#This Row],[Major Group]],G797)</f>
        <v>39-0000</v>
      </c>
      <c r="H798" s="2" t="str">
        <f>IF(Table1[[#This Row],[Major Group]]&lt;&gt;"","n/a",IF(Table1[[#This Row],[Minor Group]]&lt;&gt;"",Table1[[#This Row],[Minor Group]],H797))</f>
        <v>39-9000</v>
      </c>
      <c r="I798" s="2" t="str">
        <f>IF(Table1[[#This Row],[Major Group]]&lt;&gt;"","n/a",IF(Table1[[#This Row],[Minor Group]]&lt;&gt;"","n/a",IF(Table1[[#This Row],[Broad Group]]&lt;&gt;"",Table1[[#This Row],[Broad Group]],I797)))</f>
        <v>39-9040</v>
      </c>
      <c r="J7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Occupation]],J797))))</f>
        <v>n/a</v>
      </c>
      <c r="K798" s="2" t="str">
        <f>Table1[[#This Row],[Group Name]]</f>
        <v>Residential Advisors</v>
      </c>
    </row>
    <row r="799" spans="2:11" x14ac:dyDescent="0.25">
      <c r="D799" s="5" t="s">
        <v>1466</v>
      </c>
      <c r="E799" s="5" t="s">
        <v>1465</v>
      </c>
      <c r="F7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799" s="2" t="str">
        <f>IF(Table1[[#This Row],[Type]]="Major",Table1[[#This Row],[Major Group]],G798)</f>
        <v>39-0000</v>
      </c>
      <c r="H799" s="2" t="str">
        <f>IF(Table1[[#This Row],[Major Group]]&lt;&gt;"","n/a",IF(Table1[[#This Row],[Minor Group]]&lt;&gt;"",Table1[[#This Row],[Minor Group]],H798))</f>
        <v>39-9000</v>
      </c>
      <c r="I799" s="2" t="str">
        <f>IF(Table1[[#This Row],[Major Group]]&lt;&gt;"","n/a",IF(Table1[[#This Row],[Minor Group]]&lt;&gt;"","n/a",IF(Table1[[#This Row],[Broad Group]]&lt;&gt;"",Table1[[#This Row],[Broad Group]],I798)))</f>
        <v>39-9040</v>
      </c>
      <c r="J7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Occupation]],J798))))</f>
        <v>39-9041</v>
      </c>
      <c r="K799" s="2" t="str">
        <f>Table1[[#This Row],[Group Name]]</f>
        <v>Residential Advisors</v>
      </c>
    </row>
    <row r="800" spans="2:11" ht="30" x14ac:dyDescent="0.25">
      <c r="C800" s="1" t="s">
        <v>1467</v>
      </c>
      <c r="E800" s="1" t="s">
        <v>1468</v>
      </c>
      <c r="F8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00" s="2" t="str">
        <f>IF(Table1[[#This Row],[Type]]="Major",Table1[[#This Row],[Major Group]],G799)</f>
        <v>39-0000</v>
      </c>
      <c r="H800" s="2" t="str">
        <f>IF(Table1[[#This Row],[Major Group]]&lt;&gt;"","n/a",IF(Table1[[#This Row],[Minor Group]]&lt;&gt;"",Table1[[#This Row],[Minor Group]],H799))</f>
        <v>39-9000</v>
      </c>
      <c r="I800" s="2" t="str">
        <f>IF(Table1[[#This Row],[Major Group]]&lt;&gt;"","n/a",IF(Table1[[#This Row],[Minor Group]]&lt;&gt;"","n/a",IF(Table1[[#This Row],[Broad Group]]&lt;&gt;"",Table1[[#This Row],[Broad Group]],I799)))</f>
        <v>39-9090</v>
      </c>
      <c r="J8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Occupation]],J799))))</f>
        <v>n/a</v>
      </c>
      <c r="K800" s="2" t="str">
        <f>Table1[[#This Row],[Group Name]]</f>
        <v>Miscellaneous Personal Care and Service Workers</v>
      </c>
    </row>
    <row r="801" spans="1:11" ht="25.5" x14ac:dyDescent="0.25">
      <c r="D801" s="5" t="s">
        <v>1469</v>
      </c>
      <c r="E801" s="5" t="s">
        <v>1470</v>
      </c>
      <c r="F8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01" s="2" t="str">
        <f>IF(Table1[[#This Row],[Type]]="Major",Table1[[#This Row],[Major Group]],G800)</f>
        <v>39-0000</v>
      </c>
      <c r="H801" s="2" t="str">
        <f>IF(Table1[[#This Row],[Major Group]]&lt;&gt;"","n/a",IF(Table1[[#This Row],[Minor Group]]&lt;&gt;"",Table1[[#This Row],[Minor Group]],H800))</f>
        <v>39-9000</v>
      </c>
      <c r="I801" s="2" t="str">
        <f>IF(Table1[[#This Row],[Major Group]]&lt;&gt;"","n/a",IF(Table1[[#This Row],[Minor Group]]&lt;&gt;"","n/a",IF(Table1[[#This Row],[Broad Group]]&lt;&gt;"",Table1[[#This Row],[Broad Group]],I800)))</f>
        <v>39-9090</v>
      </c>
      <c r="J8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Occupation]],J800))))</f>
        <v>39-9099</v>
      </c>
      <c r="K801" s="2" t="str">
        <f>Table1[[#This Row],[Group Name]]</f>
        <v>Personal Care and Service Workers, All Other</v>
      </c>
    </row>
    <row r="802" spans="1:11" ht="15.75" x14ac:dyDescent="0.25">
      <c r="A802" s="4" t="s">
        <v>1471</v>
      </c>
      <c r="E802" s="4" t="s">
        <v>1472</v>
      </c>
      <c r="F8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802" s="2" t="str">
        <f>IF(Table1[[#This Row],[Type]]="Major",Table1[[#This Row],[Major Group]],G801)</f>
        <v>41-0000</v>
      </c>
      <c r="H802" s="2" t="str">
        <f>IF(Table1[[#This Row],[Major Group]]&lt;&gt;"","n/a",IF(Table1[[#This Row],[Minor Group]]&lt;&gt;"",Table1[[#This Row],[Minor Group]],H801))</f>
        <v>n/a</v>
      </c>
      <c r="I802" s="2" t="str">
        <f>IF(Table1[[#This Row],[Major Group]]&lt;&gt;"","n/a",IF(Table1[[#This Row],[Minor Group]]&lt;&gt;"","n/a",IF(Table1[[#This Row],[Broad Group]]&lt;&gt;"",Table1[[#This Row],[Broad Group]],I801)))</f>
        <v>n/a</v>
      </c>
      <c r="J8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Occupation]],J801))))</f>
        <v>n/a</v>
      </c>
      <c r="K802" s="2" t="str">
        <f>Table1[[#This Row],[Group Name]]</f>
        <v>Sales and Related Occupations</v>
      </c>
    </row>
    <row r="803" spans="1:11" x14ac:dyDescent="0.25">
      <c r="B803" s="3" t="s">
        <v>1473</v>
      </c>
      <c r="E803" s="3" t="s">
        <v>1474</v>
      </c>
      <c r="F8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03" s="2" t="str">
        <f>IF(Table1[[#This Row],[Type]]="Major",Table1[[#This Row],[Major Group]],G802)</f>
        <v>41-0000</v>
      </c>
      <c r="H803" s="2" t="str">
        <f>IF(Table1[[#This Row],[Major Group]]&lt;&gt;"","n/a",IF(Table1[[#This Row],[Minor Group]]&lt;&gt;"",Table1[[#This Row],[Minor Group]],H802))</f>
        <v>41-1000</v>
      </c>
      <c r="I803" s="2" t="str">
        <f>IF(Table1[[#This Row],[Major Group]]&lt;&gt;"","n/a",IF(Table1[[#This Row],[Minor Group]]&lt;&gt;"","n/a",IF(Table1[[#This Row],[Broad Group]]&lt;&gt;"",Table1[[#This Row],[Broad Group]],I802)))</f>
        <v>n/a</v>
      </c>
      <c r="J8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Occupation]],J802))))</f>
        <v>n/a</v>
      </c>
      <c r="K803" s="2" t="str">
        <f>Table1[[#This Row],[Group Name]]</f>
        <v>Supervisors of Sales Workers</v>
      </c>
    </row>
    <row r="804" spans="1:11" ht="30" x14ac:dyDescent="0.25">
      <c r="C804" s="1" t="s">
        <v>1475</v>
      </c>
      <c r="E804" s="1" t="s">
        <v>1476</v>
      </c>
      <c r="F8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04" s="2" t="str">
        <f>IF(Table1[[#This Row],[Type]]="Major",Table1[[#This Row],[Major Group]],G803)</f>
        <v>41-0000</v>
      </c>
      <c r="H804" s="2" t="str">
        <f>IF(Table1[[#This Row],[Major Group]]&lt;&gt;"","n/a",IF(Table1[[#This Row],[Minor Group]]&lt;&gt;"",Table1[[#This Row],[Minor Group]],H803))</f>
        <v>41-1000</v>
      </c>
      <c r="I804" s="2" t="str">
        <f>IF(Table1[[#This Row],[Major Group]]&lt;&gt;"","n/a",IF(Table1[[#This Row],[Minor Group]]&lt;&gt;"","n/a",IF(Table1[[#This Row],[Broad Group]]&lt;&gt;"",Table1[[#This Row],[Broad Group]],I803)))</f>
        <v>41-1010</v>
      </c>
      <c r="J8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Occupation]],J803))))</f>
        <v>n/a</v>
      </c>
      <c r="K804" s="2" t="str">
        <f>Table1[[#This Row],[Group Name]]</f>
        <v>First-Line Supervisors of Sales Workers</v>
      </c>
    </row>
    <row r="805" spans="1:11" ht="25.5" x14ac:dyDescent="0.25">
      <c r="D805" s="5" t="s">
        <v>1477</v>
      </c>
      <c r="E805" s="5" t="s">
        <v>1478</v>
      </c>
      <c r="F8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05" s="2" t="str">
        <f>IF(Table1[[#This Row],[Type]]="Major",Table1[[#This Row],[Major Group]],G804)</f>
        <v>41-0000</v>
      </c>
      <c r="H805" s="2" t="str">
        <f>IF(Table1[[#This Row],[Major Group]]&lt;&gt;"","n/a",IF(Table1[[#This Row],[Minor Group]]&lt;&gt;"",Table1[[#This Row],[Minor Group]],H804))</f>
        <v>41-1000</v>
      </c>
      <c r="I805" s="2" t="str">
        <f>IF(Table1[[#This Row],[Major Group]]&lt;&gt;"","n/a",IF(Table1[[#This Row],[Minor Group]]&lt;&gt;"","n/a",IF(Table1[[#This Row],[Broad Group]]&lt;&gt;"",Table1[[#This Row],[Broad Group]],I804)))</f>
        <v>41-1010</v>
      </c>
      <c r="J8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Occupation]],J804))))</f>
        <v>41-1011</v>
      </c>
      <c r="K805" s="2" t="str">
        <f>Table1[[#This Row],[Group Name]]</f>
        <v>First-Line Supervisors of Retail Sales Workers</v>
      </c>
    </row>
    <row r="806" spans="1:11" ht="25.5" x14ac:dyDescent="0.25">
      <c r="D806" s="5" t="s">
        <v>1479</v>
      </c>
      <c r="E806" s="5" t="s">
        <v>1480</v>
      </c>
      <c r="F8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06" s="2" t="str">
        <f>IF(Table1[[#This Row],[Type]]="Major",Table1[[#This Row],[Major Group]],G805)</f>
        <v>41-0000</v>
      </c>
      <c r="H806" s="2" t="str">
        <f>IF(Table1[[#This Row],[Major Group]]&lt;&gt;"","n/a",IF(Table1[[#This Row],[Minor Group]]&lt;&gt;"",Table1[[#This Row],[Minor Group]],H805))</f>
        <v>41-1000</v>
      </c>
      <c r="I806" s="2" t="str">
        <f>IF(Table1[[#This Row],[Major Group]]&lt;&gt;"","n/a",IF(Table1[[#This Row],[Minor Group]]&lt;&gt;"","n/a",IF(Table1[[#This Row],[Broad Group]]&lt;&gt;"",Table1[[#This Row],[Broad Group]],I805)))</f>
        <v>41-1010</v>
      </c>
      <c r="J8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Occupation]],J805))))</f>
        <v>41-1012</v>
      </c>
      <c r="K806" s="2" t="str">
        <f>Table1[[#This Row],[Group Name]]</f>
        <v>First-Line Supervisors of Non-Retail Sales Workers</v>
      </c>
    </row>
    <row r="807" spans="1:11" x14ac:dyDescent="0.25">
      <c r="B807" s="3" t="s">
        <v>1481</v>
      </c>
      <c r="E807" s="3" t="s">
        <v>1482</v>
      </c>
      <c r="F8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07" s="2" t="str">
        <f>IF(Table1[[#This Row],[Type]]="Major",Table1[[#This Row],[Major Group]],G806)</f>
        <v>41-0000</v>
      </c>
      <c r="H807" s="2" t="str">
        <f>IF(Table1[[#This Row],[Major Group]]&lt;&gt;"","n/a",IF(Table1[[#This Row],[Minor Group]]&lt;&gt;"",Table1[[#This Row],[Minor Group]],H806))</f>
        <v>41-2000</v>
      </c>
      <c r="I807" s="2" t="str">
        <f>IF(Table1[[#This Row],[Major Group]]&lt;&gt;"","n/a",IF(Table1[[#This Row],[Minor Group]]&lt;&gt;"","n/a",IF(Table1[[#This Row],[Broad Group]]&lt;&gt;"",Table1[[#This Row],[Broad Group]],I806)))</f>
        <v>n/a</v>
      </c>
      <c r="J8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Occupation]],J806))))</f>
        <v>n/a</v>
      </c>
      <c r="K807" s="2" t="str">
        <f>Table1[[#This Row],[Group Name]]</f>
        <v>Retail Sales Workers</v>
      </c>
    </row>
    <row r="808" spans="1:11" x14ac:dyDescent="0.25">
      <c r="C808" s="1" t="s">
        <v>1483</v>
      </c>
      <c r="E808" s="1" t="s">
        <v>1484</v>
      </c>
      <c r="F8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08" s="2" t="str">
        <f>IF(Table1[[#This Row],[Type]]="Major",Table1[[#This Row],[Major Group]],G807)</f>
        <v>41-0000</v>
      </c>
      <c r="H808" s="2" t="str">
        <f>IF(Table1[[#This Row],[Major Group]]&lt;&gt;"","n/a",IF(Table1[[#This Row],[Minor Group]]&lt;&gt;"",Table1[[#This Row],[Minor Group]],H807))</f>
        <v>41-2000</v>
      </c>
      <c r="I808" s="2" t="str">
        <f>IF(Table1[[#This Row],[Major Group]]&lt;&gt;"","n/a",IF(Table1[[#This Row],[Minor Group]]&lt;&gt;"","n/a",IF(Table1[[#This Row],[Broad Group]]&lt;&gt;"",Table1[[#This Row],[Broad Group]],I807)))</f>
        <v>41-2010</v>
      </c>
      <c r="J8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Occupation]],J807))))</f>
        <v>n/a</v>
      </c>
      <c r="K808" s="2" t="str">
        <f>Table1[[#This Row],[Group Name]]</f>
        <v>Cashiers</v>
      </c>
    </row>
    <row r="809" spans="1:11" x14ac:dyDescent="0.25">
      <c r="D809" s="5" t="s">
        <v>1485</v>
      </c>
      <c r="E809" s="5" t="s">
        <v>1484</v>
      </c>
      <c r="F8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09" s="2" t="str">
        <f>IF(Table1[[#This Row],[Type]]="Major",Table1[[#This Row],[Major Group]],G808)</f>
        <v>41-0000</v>
      </c>
      <c r="H809" s="2" t="str">
        <f>IF(Table1[[#This Row],[Major Group]]&lt;&gt;"","n/a",IF(Table1[[#This Row],[Minor Group]]&lt;&gt;"",Table1[[#This Row],[Minor Group]],H808))</f>
        <v>41-2000</v>
      </c>
      <c r="I809" s="2" t="str">
        <f>IF(Table1[[#This Row],[Major Group]]&lt;&gt;"","n/a",IF(Table1[[#This Row],[Minor Group]]&lt;&gt;"","n/a",IF(Table1[[#This Row],[Broad Group]]&lt;&gt;"",Table1[[#This Row],[Broad Group]],I808)))</f>
        <v>41-2010</v>
      </c>
      <c r="J8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Occupation]],J808))))</f>
        <v>41-2011</v>
      </c>
      <c r="K809" s="2" t="str">
        <f>Table1[[#This Row],[Group Name]]</f>
        <v>Cashiers</v>
      </c>
    </row>
    <row r="810" spans="1:11" ht="25.5" x14ac:dyDescent="0.25">
      <c r="D810" s="5" t="s">
        <v>1486</v>
      </c>
      <c r="E810" s="5" t="s">
        <v>1487</v>
      </c>
      <c r="F8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10" s="2" t="str">
        <f>IF(Table1[[#This Row],[Type]]="Major",Table1[[#This Row],[Major Group]],G809)</f>
        <v>41-0000</v>
      </c>
      <c r="H810" s="2" t="str">
        <f>IF(Table1[[#This Row],[Major Group]]&lt;&gt;"","n/a",IF(Table1[[#This Row],[Minor Group]]&lt;&gt;"",Table1[[#This Row],[Minor Group]],H809))</f>
        <v>41-2000</v>
      </c>
      <c r="I810" s="2" t="str">
        <f>IF(Table1[[#This Row],[Major Group]]&lt;&gt;"","n/a",IF(Table1[[#This Row],[Minor Group]]&lt;&gt;"","n/a",IF(Table1[[#This Row],[Broad Group]]&lt;&gt;"",Table1[[#This Row],[Broad Group]],I809)))</f>
        <v>41-2010</v>
      </c>
      <c r="J8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Occupation]],J809))))</f>
        <v>41-2012</v>
      </c>
      <c r="K810" s="2" t="str">
        <f>Table1[[#This Row],[Group Name]]</f>
        <v>Gambling Change Persons and Booth Cashiers</v>
      </c>
    </row>
    <row r="811" spans="1:11" ht="30" x14ac:dyDescent="0.25">
      <c r="C811" s="1" t="s">
        <v>1488</v>
      </c>
      <c r="E811" s="1" t="s">
        <v>1489</v>
      </c>
      <c r="F8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11" s="2" t="str">
        <f>IF(Table1[[#This Row],[Type]]="Major",Table1[[#This Row],[Major Group]],G810)</f>
        <v>41-0000</v>
      </c>
      <c r="H811" s="2" t="str">
        <f>IF(Table1[[#This Row],[Major Group]]&lt;&gt;"","n/a",IF(Table1[[#This Row],[Minor Group]]&lt;&gt;"",Table1[[#This Row],[Minor Group]],H810))</f>
        <v>41-2000</v>
      </c>
      <c r="I811" s="2" t="str">
        <f>IF(Table1[[#This Row],[Major Group]]&lt;&gt;"","n/a",IF(Table1[[#This Row],[Minor Group]]&lt;&gt;"","n/a",IF(Table1[[#This Row],[Broad Group]]&lt;&gt;"",Table1[[#This Row],[Broad Group]],I810)))</f>
        <v>41-2020</v>
      </c>
      <c r="J8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Occupation]],J810))))</f>
        <v>n/a</v>
      </c>
      <c r="K811" s="2" t="str">
        <f>Table1[[#This Row],[Group Name]]</f>
        <v>Counter and Rental Clerks and Parts Salespersons</v>
      </c>
    </row>
    <row r="812" spans="1:11" x14ac:dyDescent="0.25">
      <c r="D812" s="5" t="s">
        <v>1490</v>
      </c>
      <c r="E812" s="5" t="s">
        <v>1491</v>
      </c>
      <c r="F8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12" s="2" t="str">
        <f>IF(Table1[[#This Row],[Type]]="Major",Table1[[#This Row],[Major Group]],G811)</f>
        <v>41-0000</v>
      </c>
      <c r="H812" s="2" t="str">
        <f>IF(Table1[[#This Row],[Major Group]]&lt;&gt;"","n/a",IF(Table1[[#This Row],[Minor Group]]&lt;&gt;"",Table1[[#This Row],[Minor Group]],H811))</f>
        <v>41-2000</v>
      </c>
      <c r="I812" s="2" t="str">
        <f>IF(Table1[[#This Row],[Major Group]]&lt;&gt;"","n/a",IF(Table1[[#This Row],[Minor Group]]&lt;&gt;"","n/a",IF(Table1[[#This Row],[Broad Group]]&lt;&gt;"",Table1[[#This Row],[Broad Group]],I811)))</f>
        <v>41-2020</v>
      </c>
      <c r="J8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Occupation]],J811))))</f>
        <v>41-2021</v>
      </c>
      <c r="K812" s="2" t="str">
        <f>Table1[[#This Row],[Group Name]]</f>
        <v>Counter and Rental Clerks</v>
      </c>
    </row>
    <row r="813" spans="1:11" x14ac:dyDescent="0.25">
      <c r="D813" s="5" t="s">
        <v>1492</v>
      </c>
      <c r="E813" s="5" t="s">
        <v>1493</v>
      </c>
      <c r="F8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13" s="2" t="str">
        <f>IF(Table1[[#This Row],[Type]]="Major",Table1[[#This Row],[Major Group]],G812)</f>
        <v>41-0000</v>
      </c>
      <c r="H813" s="2" t="str">
        <f>IF(Table1[[#This Row],[Major Group]]&lt;&gt;"","n/a",IF(Table1[[#This Row],[Minor Group]]&lt;&gt;"",Table1[[#This Row],[Minor Group]],H812))</f>
        <v>41-2000</v>
      </c>
      <c r="I813" s="2" t="str">
        <f>IF(Table1[[#This Row],[Major Group]]&lt;&gt;"","n/a",IF(Table1[[#This Row],[Minor Group]]&lt;&gt;"","n/a",IF(Table1[[#This Row],[Broad Group]]&lt;&gt;"",Table1[[#This Row],[Broad Group]],I812)))</f>
        <v>41-2020</v>
      </c>
      <c r="J8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Occupation]],J812))))</f>
        <v>41-2022</v>
      </c>
      <c r="K813" s="2" t="str">
        <f>Table1[[#This Row],[Group Name]]</f>
        <v>Parts Salespersons</v>
      </c>
    </row>
    <row r="814" spans="1:11" x14ac:dyDescent="0.25">
      <c r="C814" s="1" t="s">
        <v>1494</v>
      </c>
      <c r="E814" s="1" t="s">
        <v>1495</v>
      </c>
      <c r="F8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14" s="2" t="str">
        <f>IF(Table1[[#This Row],[Type]]="Major",Table1[[#This Row],[Major Group]],G813)</f>
        <v>41-0000</v>
      </c>
      <c r="H814" s="2" t="str">
        <f>IF(Table1[[#This Row],[Major Group]]&lt;&gt;"","n/a",IF(Table1[[#This Row],[Minor Group]]&lt;&gt;"",Table1[[#This Row],[Minor Group]],H813))</f>
        <v>41-2000</v>
      </c>
      <c r="I814" s="2" t="str">
        <f>IF(Table1[[#This Row],[Major Group]]&lt;&gt;"","n/a",IF(Table1[[#This Row],[Minor Group]]&lt;&gt;"","n/a",IF(Table1[[#This Row],[Broad Group]]&lt;&gt;"",Table1[[#This Row],[Broad Group]],I813)))</f>
        <v>41-2030</v>
      </c>
      <c r="J8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Occupation]],J813))))</f>
        <v>n/a</v>
      </c>
      <c r="K814" s="2" t="str">
        <f>Table1[[#This Row],[Group Name]]</f>
        <v>Retail Salespersons</v>
      </c>
    </row>
    <row r="815" spans="1:11" x14ac:dyDescent="0.25">
      <c r="D815" s="5" t="s">
        <v>1496</v>
      </c>
      <c r="E815" s="5" t="s">
        <v>1495</v>
      </c>
      <c r="F8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15" s="2" t="str">
        <f>IF(Table1[[#This Row],[Type]]="Major",Table1[[#This Row],[Major Group]],G814)</f>
        <v>41-0000</v>
      </c>
      <c r="H815" s="2" t="str">
        <f>IF(Table1[[#This Row],[Major Group]]&lt;&gt;"","n/a",IF(Table1[[#This Row],[Minor Group]]&lt;&gt;"",Table1[[#This Row],[Minor Group]],H814))</f>
        <v>41-2000</v>
      </c>
      <c r="I815" s="2" t="str">
        <f>IF(Table1[[#This Row],[Major Group]]&lt;&gt;"","n/a",IF(Table1[[#This Row],[Minor Group]]&lt;&gt;"","n/a",IF(Table1[[#This Row],[Broad Group]]&lt;&gt;"",Table1[[#This Row],[Broad Group]],I814)))</f>
        <v>41-2030</v>
      </c>
      <c r="J8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Occupation]],J814))))</f>
        <v>41-2031</v>
      </c>
      <c r="K815" s="2" t="str">
        <f>Table1[[#This Row],[Group Name]]</f>
        <v>Retail Salespersons</v>
      </c>
    </row>
    <row r="816" spans="1:11" x14ac:dyDescent="0.25">
      <c r="B816" s="3" t="s">
        <v>1497</v>
      </c>
      <c r="E816" s="3" t="s">
        <v>1498</v>
      </c>
      <c r="F8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16" s="2" t="str">
        <f>IF(Table1[[#This Row],[Type]]="Major",Table1[[#This Row],[Major Group]],G815)</f>
        <v>41-0000</v>
      </c>
      <c r="H816" s="2" t="str">
        <f>IF(Table1[[#This Row],[Major Group]]&lt;&gt;"","n/a",IF(Table1[[#This Row],[Minor Group]]&lt;&gt;"",Table1[[#This Row],[Minor Group]],H815))</f>
        <v>41-3000</v>
      </c>
      <c r="I816" s="2" t="str">
        <f>IF(Table1[[#This Row],[Major Group]]&lt;&gt;"","n/a",IF(Table1[[#This Row],[Minor Group]]&lt;&gt;"","n/a",IF(Table1[[#This Row],[Broad Group]]&lt;&gt;"",Table1[[#This Row],[Broad Group]],I815)))</f>
        <v>n/a</v>
      </c>
      <c r="J8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Occupation]],J815))))</f>
        <v>n/a</v>
      </c>
      <c r="K816" s="2" t="str">
        <f>Table1[[#This Row],[Group Name]]</f>
        <v>Sales Representatives, Services</v>
      </c>
    </row>
    <row r="817" spans="2:11" x14ac:dyDescent="0.25">
      <c r="C817" s="1" t="s">
        <v>1499</v>
      </c>
      <c r="E817" s="1" t="s">
        <v>1500</v>
      </c>
      <c r="F8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17" s="2" t="str">
        <f>IF(Table1[[#This Row],[Type]]="Major",Table1[[#This Row],[Major Group]],G816)</f>
        <v>41-0000</v>
      </c>
      <c r="H817" s="2" t="str">
        <f>IF(Table1[[#This Row],[Major Group]]&lt;&gt;"","n/a",IF(Table1[[#This Row],[Minor Group]]&lt;&gt;"",Table1[[#This Row],[Minor Group]],H816))</f>
        <v>41-3000</v>
      </c>
      <c r="I817" s="2" t="str">
        <f>IF(Table1[[#This Row],[Major Group]]&lt;&gt;"","n/a",IF(Table1[[#This Row],[Minor Group]]&lt;&gt;"","n/a",IF(Table1[[#This Row],[Broad Group]]&lt;&gt;"",Table1[[#This Row],[Broad Group]],I816)))</f>
        <v>41-3010</v>
      </c>
      <c r="J8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Occupation]],J816))))</f>
        <v>n/a</v>
      </c>
      <c r="K817" s="2" t="str">
        <f>Table1[[#This Row],[Group Name]]</f>
        <v>Advertising Sales Agents</v>
      </c>
    </row>
    <row r="818" spans="2:11" x14ac:dyDescent="0.25">
      <c r="D818" s="5" t="s">
        <v>1501</v>
      </c>
      <c r="E818" s="5" t="s">
        <v>1500</v>
      </c>
      <c r="F8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18" s="2" t="str">
        <f>IF(Table1[[#This Row],[Type]]="Major",Table1[[#This Row],[Major Group]],G817)</f>
        <v>41-0000</v>
      </c>
      <c r="H818" s="2" t="str">
        <f>IF(Table1[[#This Row],[Major Group]]&lt;&gt;"","n/a",IF(Table1[[#This Row],[Minor Group]]&lt;&gt;"",Table1[[#This Row],[Minor Group]],H817))</f>
        <v>41-3000</v>
      </c>
      <c r="I818" s="2" t="str">
        <f>IF(Table1[[#This Row],[Major Group]]&lt;&gt;"","n/a",IF(Table1[[#This Row],[Minor Group]]&lt;&gt;"","n/a",IF(Table1[[#This Row],[Broad Group]]&lt;&gt;"",Table1[[#This Row],[Broad Group]],I817)))</f>
        <v>41-3010</v>
      </c>
      <c r="J8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Occupation]],J817))))</f>
        <v>41-3011</v>
      </c>
      <c r="K818" s="2" t="str">
        <f>Table1[[#This Row],[Group Name]]</f>
        <v>Advertising Sales Agents</v>
      </c>
    </row>
    <row r="819" spans="2:11" x14ac:dyDescent="0.25">
      <c r="C819" s="1" t="s">
        <v>1502</v>
      </c>
      <c r="E819" s="1" t="s">
        <v>1503</v>
      </c>
      <c r="F8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19" s="2" t="str">
        <f>IF(Table1[[#This Row],[Type]]="Major",Table1[[#This Row],[Major Group]],G818)</f>
        <v>41-0000</v>
      </c>
      <c r="H819" s="2" t="str">
        <f>IF(Table1[[#This Row],[Major Group]]&lt;&gt;"","n/a",IF(Table1[[#This Row],[Minor Group]]&lt;&gt;"",Table1[[#This Row],[Minor Group]],H818))</f>
        <v>41-3000</v>
      </c>
      <c r="I819" s="2" t="str">
        <f>IF(Table1[[#This Row],[Major Group]]&lt;&gt;"","n/a",IF(Table1[[#This Row],[Minor Group]]&lt;&gt;"","n/a",IF(Table1[[#This Row],[Broad Group]]&lt;&gt;"",Table1[[#This Row],[Broad Group]],I818)))</f>
        <v>41-3020</v>
      </c>
      <c r="J8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Occupation]],J818))))</f>
        <v>n/a</v>
      </c>
      <c r="K819" s="2" t="str">
        <f>Table1[[#This Row],[Group Name]]</f>
        <v>Insurance Sales Agents</v>
      </c>
    </row>
    <row r="820" spans="2:11" x14ac:dyDescent="0.25">
      <c r="D820" s="5" t="s">
        <v>1504</v>
      </c>
      <c r="E820" s="5" t="s">
        <v>1503</v>
      </c>
      <c r="F8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20" s="2" t="str">
        <f>IF(Table1[[#This Row],[Type]]="Major",Table1[[#This Row],[Major Group]],G819)</f>
        <v>41-0000</v>
      </c>
      <c r="H820" s="2" t="str">
        <f>IF(Table1[[#This Row],[Major Group]]&lt;&gt;"","n/a",IF(Table1[[#This Row],[Minor Group]]&lt;&gt;"",Table1[[#This Row],[Minor Group]],H819))</f>
        <v>41-3000</v>
      </c>
      <c r="I820" s="2" t="str">
        <f>IF(Table1[[#This Row],[Major Group]]&lt;&gt;"","n/a",IF(Table1[[#This Row],[Minor Group]]&lt;&gt;"","n/a",IF(Table1[[#This Row],[Broad Group]]&lt;&gt;"",Table1[[#This Row],[Broad Group]],I819)))</f>
        <v>41-3020</v>
      </c>
      <c r="J8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Occupation]],J819))))</f>
        <v>41-3021</v>
      </c>
      <c r="K820" s="2" t="str">
        <f>Table1[[#This Row],[Group Name]]</f>
        <v>Insurance Sales Agents</v>
      </c>
    </row>
    <row r="821" spans="2:11" ht="30" x14ac:dyDescent="0.25">
      <c r="C821" s="1" t="s">
        <v>1505</v>
      </c>
      <c r="E821" s="1" t="s">
        <v>1506</v>
      </c>
      <c r="F8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21" s="2" t="str">
        <f>IF(Table1[[#This Row],[Type]]="Major",Table1[[#This Row],[Major Group]],G820)</f>
        <v>41-0000</v>
      </c>
      <c r="H821" s="2" t="str">
        <f>IF(Table1[[#This Row],[Major Group]]&lt;&gt;"","n/a",IF(Table1[[#This Row],[Minor Group]]&lt;&gt;"",Table1[[#This Row],[Minor Group]],H820))</f>
        <v>41-3000</v>
      </c>
      <c r="I821" s="2" t="str">
        <f>IF(Table1[[#This Row],[Major Group]]&lt;&gt;"","n/a",IF(Table1[[#This Row],[Minor Group]]&lt;&gt;"","n/a",IF(Table1[[#This Row],[Broad Group]]&lt;&gt;"",Table1[[#This Row],[Broad Group]],I820)))</f>
        <v>41-3030</v>
      </c>
      <c r="J8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Occupation]],J820))))</f>
        <v>n/a</v>
      </c>
      <c r="K821" s="2" t="str">
        <f>Table1[[#This Row],[Group Name]]</f>
        <v>Securities, Commodities, and Financial Services Sales Agents</v>
      </c>
    </row>
    <row r="822" spans="2:11" ht="25.5" x14ac:dyDescent="0.25">
      <c r="D822" s="5" t="s">
        <v>1507</v>
      </c>
      <c r="E822" s="5" t="s">
        <v>1506</v>
      </c>
      <c r="F8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22" s="2" t="str">
        <f>IF(Table1[[#This Row],[Type]]="Major",Table1[[#This Row],[Major Group]],G821)</f>
        <v>41-0000</v>
      </c>
      <c r="H822" s="2" t="str">
        <f>IF(Table1[[#This Row],[Major Group]]&lt;&gt;"","n/a",IF(Table1[[#This Row],[Minor Group]]&lt;&gt;"",Table1[[#This Row],[Minor Group]],H821))</f>
        <v>41-3000</v>
      </c>
      <c r="I822" s="2" t="str">
        <f>IF(Table1[[#This Row],[Major Group]]&lt;&gt;"","n/a",IF(Table1[[#This Row],[Minor Group]]&lt;&gt;"","n/a",IF(Table1[[#This Row],[Broad Group]]&lt;&gt;"",Table1[[#This Row],[Broad Group]],I821)))</f>
        <v>41-3030</v>
      </c>
      <c r="J8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Occupation]],J821))))</f>
        <v>41-3031</v>
      </c>
      <c r="K822" s="2" t="str">
        <f>Table1[[#This Row],[Group Name]]</f>
        <v>Securities, Commodities, and Financial Services Sales Agents</v>
      </c>
    </row>
    <row r="823" spans="2:11" x14ac:dyDescent="0.25">
      <c r="C823" s="1" t="s">
        <v>1508</v>
      </c>
      <c r="E823" s="1" t="s">
        <v>1509</v>
      </c>
      <c r="F8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23" s="2" t="str">
        <f>IF(Table1[[#This Row],[Type]]="Major",Table1[[#This Row],[Major Group]],G822)</f>
        <v>41-0000</v>
      </c>
      <c r="H823" s="2" t="str">
        <f>IF(Table1[[#This Row],[Major Group]]&lt;&gt;"","n/a",IF(Table1[[#This Row],[Minor Group]]&lt;&gt;"",Table1[[#This Row],[Minor Group]],H822))</f>
        <v>41-3000</v>
      </c>
      <c r="I823" s="2" t="str">
        <f>IF(Table1[[#This Row],[Major Group]]&lt;&gt;"","n/a",IF(Table1[[#This Row],[Minor Group]]&lt;&gt;"","n/a",IF(Table1[[#This Row],[Broad Group]]&lt;&gt;"",Table1[[#This Row],[Broad Group]],I822)))</f>
        <v>41-3040</v>
      </c>
      <c r="J8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Occupation]],J822))))</f>
        <v>n/a</v>
      </c>
      <c r="K823" s="2" t="str">
        <f>Table1[[#This Row],[Group Name]]</f>
        <v>Travel Agents</v>
      </c>
    </row>
    <row r="824" spans="2:11" x14ac:dyDescent="0.25">
      <c r="D824" s="5" t="s">
        <v>1510</v>
      </c>
      <c r="E824" s="5" t="s">
        <v>1509</v>
      </c>
      <c r="F8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24" s="2" t="str">
        <f>IF(Table1[[#This Row],[Type]]="Major",Table1[[#This Row],[Major Group]],G823)</f>
        <v>41-0000</v>
      </c>
      <c r="H824" s="2" t="str">
        <f>IF(Table1[[#This Row],[Major Group]]&lt;&gt;"","n/a",IF(Table1[[#This Row],[Minor Group]]&lt;&gt;"",Table1[[#This Row],[Minor Group]],H823))</f>
        <v>41-3000</v>
      </c>
      <c r="I824" s="2" t="str">
        <f>IF(Table1[[#This Row],[Major Group]]&lt;&gt;"","n/a",IF(Table1[[#This Row],[Minor Group]]&lt;&gt;"","n/a",IF(Table1[[#This Row],[Broad Group]]&lt;&gt;"",Table1[[#This Row],[Broad Group]],I823)))</f>
        <v>41-3040</v>
      </c>
      <c r="J8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Occupation]],J823))))</f>
        <v>41-3041</v>
      </c>
      <c r="K824" s="2" t="str">
        <f>Table1[[#This Row],[Group Name]]</f>
        <v>Travel Agents</v>
      </c>
    </row>
    <row r="825" spans="2:11" ht="30" x14ac:dyDescent="0.25">
      <c r="C825" s="1" t="s">
        <v>1511</v>
      </c>
      <c r="E825" s="1" t="s">
        <v>1512</v>
      </c>
      <c r="F8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25" s="2" t="str">
        <f>IF(Table1[[#This Row],[Type]]="Major",Table1[[#This Row],[Major Group]],G824)</f>
        <v>41-0000</v>
      </c>
      <c r="H825" s="2" t="str">
        <f>IF(Table1[[#This Row],[Major Group]]&lt;&gt;"","n/a",IF(Table1[[#This Row],[Minor Group]]&lt;&gt;"",Table1[[#This Row],[Minor Group]],H824))</f>
        <v>41-3000</v>
      </c>
      <c r="I825" s="2" t="str">
        <f>IF(Table1[[#This Row],[Major Group]]&lt;&gt;"","n/a",IF(Table1[[#This Row],[Minor Group]]&lt;&gt;"","n/a",IF(Table1[[#This Row],[Broad Group]]&lt;&gt;"",Table1[[#This Row],[Broad Group]],I824)))</f>
        <v>41-3090</v>
      </c>
      <c r="J8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Occupation]],J824))))</f>
        <v>n/a</v>
      </c>
      <c r="K825" s="2" t="str">
        <f>Table1[[#This Row],[Group Name]]</f>
        <v>Miscellaneous Sales Representatives, Services</v>
      </c>
    </row>
    <row r="826" spans="2:11" ht="38.25" x14ac:dyDescent="0.25">
      <c r="D826" s="5" t="s">
        <v>1513</v>
      </c>
      <c r="E826" s="5" t="s">
        <v>1514</v>
      </c>
      <c r="F8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26" s="2" t="str">
        <f>IF(Table1[[#This Row],[Type]]="Major",Table1[[#This Row],[Major Group]],G825)</f>
        <v>41-0000</v>
      </c>
      <c r="H826" s="2" t="str">
        <f>IF(Table1[[#This Row],[Major Group]]&lt;&gt;"","n/a",IF(Table1[[#This Row],[Minor Group]]&lt;&gt;"",Table1[[#This Row],[Minor Group]],H825))</f>
        <v>41-3000</v>
      </c>
      <c r="I826" s="2" t="str">
        <f>IF(Table1[[#This Row],[Major Group]]&lt;&gt;"","n/a",IF(Table1[[#This Row],[Minor Group]]&lt;&gt;"","n/a",IF(Table1[[#This Row],[Broad Group]]&lt;&gt;"",Table1[[#This Row],[Broad Group]],I825)))</f>
        <v>41-3090</v>
      </c>
      <c r="J8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Occupation]],J825))))</f>
        <v>41-3091</v>
      </c>
      <c r="K826" s="2" t="str">
        <f>Table1[[#This Row],[Group Name]]</f>
        <v>Sales Representatives of Services, Except Advertising, Insurance, Financial Services, and Travel</v>
      </c>
    </row>
    <row r="827" spans="2:11" x14ac:dyDescent="0.25">
      <c r="B827" s="3" t="s">
        <v>1515</v>
      </c>
      <c r="E827" s="3" t="s">
        <v>1516</v>
      </c>
      <c r="F8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27" s="2" t="str">
        <f>IF(Table1[[#This Row],[Type]]="Major",Table1[[#This Row],[Major Group]],G826)</f>
        <v>41-0000</v>
      </c>
      <c r="H827" s="2" t="str">
        <f>IF(Table1[[#This Row],[Major Group]]&lt;&gt;"","n/a",IF(Table1[[#This Row],[Minor Group]]&lt;&gt;"",Table1[[#This Row],[Minor Group]],H826))</f>
        <v>41-4000</v>
      </c>
      <c r="I827" s="2" t="str">
        <f>IF(Table1[[#This Row],[Major Group]]&lt;&gt;"","n/a",IF(Table1[[#This Row],[Minor Group]]&lt;&gt;"","n/a",IF(Table1[[#This Row],[Broad Group]]&lt;&gt;"",Table1[[#This Row],[Broad Group]],I826)))</f>
        <v>n/a</v>
      </c>
      <c r="J8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Occupation]],J826))))</f>
        <v>n/a</v>
      </c>
      <c r="K827" s="2" t="str">
        <f>Table1[[#This Row],[Group Name]]</f>
        <v>Sales Representatives, Wholesale and Manufacturing</v>
      </c>
    </row>
    <row r="828" spans="2:11" ht="30" x14ac:dyDescent="0.25">
      <c r="C828" s="1" t="s">
        <v>1517</v>
      </c>
      <c r="E828" s="1" t="s">
        <v>1516</v>
      </c>
      <c r="F8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28" s="2" t="str">
        <f>IF(Table1[[#This Row],[Type]]="Major",Table1[[#This Row],[Major Group]],G827)</f>
        <v>41-0000</v>
      </c>
      <c r="H828" s="2" t="str">
        <f>IF(Table1[[#This Row],[Major Group]]&lt;&gt;"","n/a",IF(Table1[[#This Row],[Minor Group]]&lt;&gt;"",Table1[[#This Row],[Minor Group]],H827))</f>
        <v>41-4000</v>
      </c>
      <c r="I828" s="2" t="str">
        <f>IF(Table1[[#This Row],[Major Group]]&lt;&gt;"","n/a",IF(Table1[[#This Row],[Minor Group]]&lt;&gt;"","n/a",IF(Table1[[#This Row],[Broad Group]]&lt;&gt;"",Table1[[#This Row],[Broad Group]],I827)))</f>
        <v>41-4010</v>
      </c>
      <c r="J8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Occupation]],J827))))</f>
        <v>n/a</v>
      </c>
      <c r="K828" s="2" t="str">
        <f>Table1[[#This Row],[Group Name]]</f>
        <v>Sales Representatives, Wholesale and Manufacturing</v>
      </c>
    </row>
    <row r="829" spans="2:11" ht="38.25" x14ac:dyDescent="0.25">
      <c r="D829" s="5" t="s">
        <v>1518</v>
      </c>
      <c r="E829" s="5" t="s">
        <v>1519</v>
      </c>
      <c r="F8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29" s="2" t="str">
        <f>IF(Table1[[#This Row],[Type]]="Major",Table1[[#This Row],[Major Group]],G828)</f>
        <v>41-0000</v>
      </c>
      <c r="H829" s="2" t="str">
        <f>IF(Table1[[#This Row],[Major Group]]&lt;&gt;"","n/a",IF(Table1[[#This Row],[Minor Group]]&lt;&gt;"",Table1[[#This Row],[Minor Group]],H828))</f>
        <v>41-4000</v>
      </c>
      <c r="I829" s="2" t="str">
        <f>IF(Table1[[#This Row],[Major Group]]&lt;&gt;"","n/a",IF(Table1[[#This Row],[Minor Group]]&lt;&gt;"","n/a",IF(Table1[[#This Row],[Broad Group]]&lt;&gt;"",Table1[[#This Row],[Broad Group]],I828)))</f>
        <v>41-4010</v>
      </c>
      <c r="J8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Occupation]],J828))))</f>
        <v>41-4011</v>
      </c>
      <c r="K829" s="2" t="str">
        <f>Table1[[#This Row],[Group Name]]</f>
        <v>Sales Representatives, Wholesale and Manufacturing, Technical and Scientific Products</v>
      </c>
    </row>
    <row r="830" spans="2:11" ht="38.25" x14ac:dyDescent="0.25">
      <c r="D830" s="5" t="s">
        <v>1520</v>
      </c>
      <c r="E830" s="5" t="s">
        <v>1521</v>
      </c>
      <c r="F8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30" s="2" t="str">
        <f>IF(Table1[[#This Row],[Type]]="Major",Table1[[#This Row],[Major Group]],G829)</f>
        <v>41-0000</v>
      </c>
      <c r="H830" s="2" t="str">
        <f>IF(Table1[[#This Row],[Major Group]]&lt;&gt;"","n/a",IF(Table1[[#This Row],[Minor Group]]&lt;&gt;"",Table1[[#This Row],[Minor Group]],H829))</f>
        <v>41-4000</v>
      </c>
      <c r="I830" s="2" t="str">
        <f>IF(Table1[[#This Row],[Major Group]]&lt;&gt;"","n/a",IF(Table1[[#This Row],[Minor Group]]&lt;&gt;"","n/a",IF(Table1[[#This Row],[Broad Group]]&lt;&gt;"",Table1[[#This Row],[Broad Group]],I829)))</f>
        <v>41-4010</v>
      </c>
      <c r="J8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Occupation]],J829))))</f>
        <v>41-4012</v>
      </c>
      <c r="K830" s="2" t="str">
        <f>Table1[[#This Row],[Group Name]]</f>
        <v>Sales Representatives, Wholesale and Manufacturing, Except Technical and Scientific Products</v>
      </c>
    </row>
    <row r="831" spans="2:11" x14ac:dyDescent="0.25">
      <c r="B831" s="3" t="s">
        <v>1522</v>
      </c>
      <c r="E831" s="3" t="s">
        <v>1523</v>
      </c>
      <c r="F8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31" s="2" t="str">
        <f>IF(Table1[[#This Row],[Type]]="Major",Table1[[#This Row],[Major Group]],G830)</f>
        <v>41-0000</v>
      </c>
      <c r="H831" s="2" t="str">
        <f>IF(Table1[[#This Row],[Major Group]]&lt;&gt;"","n/a",IF(Table1[[#This Row],[Minor Group]]&lt;&gt;"",Table1[[#This Row],[Minor Group]],H830))</f>
        <v>41-9000</v>
      </c>
      <c r="I831" s="2" t="str">
        <f>IF(Table1[[#This Row],[Major Group]]&lt;&gt;"","n/a",IF(Table1[[#This Row],[Minor Group]]&lt;&gt;"","n/a",IF(Table1[[#This Row],[Broad Group]]&lt;&gt;"",Table1[[#This Row],[Broad Group]],I830)))</f>
        <v>n/a</v>
      </c>
      <c r="J8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Occupation]],J830))))</f>
        <v>n/a</v>
      </c>
      <c r="K831" s="2" t="str">
        <f>Table1[[#This Row],[Group Name]]</f>
        <v>Other Sales and Related Workers</v>
      </c>
    </row>
    <row r="832" spans="2:11" ht="30" x14ac:dyDescent="0.25">
      <c r="C832" s="1" t="s">
        <v>1524</v>
      </c>
      <c r="E832" s="1" t="s">
        <v>1525</v>
      </c>
      <c r="F8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32" s="2" t="str">
        <f>IF(Table1[[#This Row],[Type]]="Major",Table1[[#This Row],[Major Group]],G831)</f>
        <v>41-0000</v>
      </c>
      <c r="H832" s="2" t="str">
        <f>IF(Table1[[#This Row],[Major Group]]&lt;&gt;"","n/a",IF(Table1[[#This Row],[Minor Group]]&lt;&gt;"",Table1[[#This Row],[Minor Group]],H831))</f>
        <v>41-9000</v>
      </c>
      <c r="I832" s="2" t="str">
        <f>IF(Table1[[#This Row],[Major Group]]&lt;&gt;"","n/a",IF(Table1[[#This Row],[Minor Group]]&lt;&gt;"","n/a",IF(Table1[[#This Row],[Broad Group]]&lt;&gt;"",Table1[[#This Row],[Broad Group]],I831)))</f>
        <v>41-9010</v>
      </c>
      <c r="J8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Occupation]],J831))))</f>
        <v>n/a</v>
      </c>
      <c r="K832" s="2" t="str">
        <f>Table1[[#This Row],[Group Name]]</f>
        <v>Models, Demonstrators, and Product Promoters</v>
      </c>
    </row>
    <row r="833" spans="1:11" x14ac:dyDescent="0.25">
      <c r="D833" s="5" t="s">
        <v>1526</v>
      </c>
      <c r="E833" s="5" t="s">
        <v>1527</v>
      </c>
      <c r="F8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33" s="2" t="str">
        <f>IF(Table1[[#This Row],[Type]]="Major",Table1[[#This Row],[Major Group]],G832)</f>
        <v>41-0000</v>
      </c>
      <c r="H833" s="2" t="str">
        <f>IF(Table1[[#This Row],[Major Group]]&lt;&gt;"","n/a",IF(Table1[[#This Row],[Minor Group]]&lt;&gt;"",Table1[[#This Row],[Minor Group]],H832))</f>
        <v>41-9000</v>
      </c>
      <c r="I833" s="2" t="str">
        <f>IF(Table1[[#This Row],[Major Group]]&lt;&gt;"","n/a",IF(Table1[[#This Row],[Minor Group]]&lt;&gt;"","n/a",IF(Table1[[#This Row],[Broad Group]]&lt;&gt;"",Table1[[#This Row],[Broad Group]],I832)))</f>
        <v>41-9010</v>
      </c>
      <c r="J8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Occupation]],J832))))</f>
        <v>41-9011</v>
      </c>
      <c r="K833" s="2" t="str">
        <f>Table1[[#This Row],[Group Name]]</f>
        <v>Demonstrators and Product Promoters</v>
      </c>
    </row>
    <row r="834" spans="1:11" x14ac:dyDescent="0.25">
      <c r="D834" s="5" t="s">
        <v>1528</v>
      </c>
      <c r="E834" s="5" t="s">
        <v>1529</v>
      </c>
      <c r="F8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34" s="2" t="str">
        <f>IF(Table1[[#This Row],[Type]]="Major",Table1[[#This Row],[Major Group]],G833)</f>
        <v>41-0000</v>
      </c>
      <c r="H834" s="2" t="str">
        <f>IF(Table1[[#This Row],[Major Group]]&lt;&gt;"","n/a",IF(Table1[[#This Row],[Minor Group]]&lt;&gt;"",Table1[[#This Row],[Minor Group]],H833))</f>
        <v>41-9000</v>
      </c>
      <c r="I834" s="2" t="str">
        <f>IF(Table1[[#This Row],[Major Group]]&lt;&gt;"","n/a",IF(Table1[[#This Row],[Minor Group]]&lt;&gt;"","n/a",IF(Table1[[#This Row],[Broad Group]]&lt;&gt;"",Table1[[#This Row],[Broad Group]],I833)))</f>
        <v>41-9010</v>
      </c>
      <c r="J8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Occupation]],J833))))</f>
        <v>41-9012</v>
      </c>
      <c r="K834" s="2" t="str">
        <f>Table1[[#This Row],[Group Name]]</f>
        <v>Models</v>
      </c>
    </row>
    <row r="835" spans="1:11" ht="30" x14ac:dyDescent="0.25">
      <c r="C835" s="1" t="s">
        <v>1530</v>
      </c>
      <c r="E835" s="1" t="s">
        <v>1531</v>
      </c>
      <c r="F8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35" s="2" t="str">
        <f>IF(Table1[[#This Row],[Type]]="Major",Table1[[#This Row],[Major Group]],G834)</f>
        <v>41-0000</v>
      </c>
      <c r="H835" s="2" t="str">
        <f>IF(Table1[[#This Row],[Major Group]]&lt;&gt;"","n/a",IF(Table1[[#This Row],[Minor Group]]&lt;&gt;"",Table1[[#This Row],[Minor Group]],H834))</f>
        <v>41-9000</v>
      </c>
      <c r="I835" s="2" t="str">
        <f>IF(Table1[[#This Row],[Major Group]]&lt;&gt;"","n/a",IF(Table1[[#This Row],[Minor Group]]&lt;&gt;"","n/a",IF(Table1[[#This Row],[Broad Group]]&lt;&gt;"",Table1[[#This Row],[Broad Group]],I834)))</f>
        <v>41-9020</v>
      </c>
      <c r="J8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Occupation]],J834))))</f>
        <v>n/a</v>
      </c>
      <c r="K835" s="2" t="str">
        <f>Table1[[#This Row],[Group Name]]</f>
        <v>Real Estate Brokers and Sales Agents</v>
      </c>
    </row>
    <row r="836" spans="1:11" x14ac:dyDescent="0.25">
      <c r="D836" s="5" t="s">
        <v>1532</v>
      </c>
      <c r="E836" s="5" t="s">
        <v>1533</v>
      </c>
      <c r="F8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36" s="2" t="str">
        <f>IF(Table1[[#This Row],[Type]]="Major",Table1[[#This Row],[Major Group]],G835)</f>
        <v>41-0000</v>
      </c>
      <c r="H836" s="2" t="str">
        <f>IF(Table1[[#This Row],[Major Group]]&lt;&gt;"","n/a",IF(Table1[[#This Row],[Minor Group]]&lt;&gt;"",Table1[[#This Row],[Minor Group]],H835))</f>
        <v>41-9000</v>
      </c>
      <c r="I836" s="2" t="str">
        <f>IF(Table1[[#This Row],[Major Group]]&lt;&gt;"","n/a",IF(Table1[[#This Row],[Minor Group]]&lt;&gt;"","n/a",IF(Table1[[#This Row],[Broad Group]]&lt;&gt;"",Table1[[#This Row],[Broad Group]],I835)))</f>
        <v>41-9020</v>
      </c>
      <c r="J8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Occupation]],J835))))</f>
        <v>41-9021</v>
      </c>
      <c r="K836" s="2" t="str">
        <f>Table1[[#This Row],[Group Name]]</f>
        <v>Real Estate Brokers</v>
      </c>
    </row>
    <row r="837" spans="1:11" x14ac:dyDescent="0.25">
      <c r="D837" s="5" t="s">
        <v>1534</v>
      </c>
      <c r="E837" s="5" t="s">
        <v>1535</v>
      </c>
      <c r="F8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37" s="2" t="str">
        <f>IF(Table1[[#This Row],[Type]]="Major",Table1[[#This Row],[Major Group]],G836)</f>
        <v>41-0000</v>
      </c>
      <c r="H837" s="2" t="str">
        <f>IF(Table1[[#This Row],[Major Group]]&lt;&gt;"","n/a",IF(Table1[[#This Row],[Minor Group]]&lt;&gt;"",Table1[[#This Row],[Minor Group]],H836))</f>
        <v>41-9000</v>
      </c>
      <c r="I837" s="2" t="str">
        <f>IF(Table1[[#This Row],[Major Group]]&lt;&gt;"","n/a",IF(Table1[[#This Row],[Minor Group]]&lt;&gt;"","n/a",IF(Table1[[#This Row],[Broad Group]]&lt;&gt;"",Table1[[#This Row],[Broad Group]],I836)))</f>
        <v>41-9020</v>
      </c>
      <c r="J8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Occupation]],J836))))</f>
        <v>41-9022</v>
      </c>
      <c r="K837" s="2" t="str">
        <f>Table1[[#This Row],[Group Name]]</f>
        <v>Real Estate Sales Agents</v>
      </c>
    </row>
    <row r="838" spans="1:11" x14ac:dyDescent="0.25">
      <c r="C838" s="1" t="s">
        <v>1536</v>
      </c>
      <c r="E838" s="1" t="s">
        <v>1537</v>
      </c>
      <c r="F8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38" s="2" t="str">
        <f>IF(Table1[[#This Row],[Type]]="Major",Table1[[#This Row],[Major Group]],G837)</f>
        <v>41-0000</v>
      </c>
      <c r="H838" s="2" t="str">
        <f>IF(Table1[[#This Row],[Major Group]]&lt;&gt;"","n/a",IF(Table1[[#This Row],[Minor Group]]&lt;&gt;"",Table1[[#This Row],[Minor Group]],H837))</f>
        <v>41-9000</v>
      </c>
      <c r="I838" s="2" t="str">
        <f>IF(Table1[[#This Row],[Major Group]]&lt;&gt;"","n/a",IF(Table1[[#This Row],[Minor Group]]&lt;&gt;"","n/a",IF(Table1[[#This Row],[Broad Group]]&lt;&gt;"",Table1[[#This Row],[Broad Group]],I837)))</f>
        <v>41-9030</v>
      </c>
      <c r="J8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Occupation]],J837))))</f>
        <v>n/a</v>
      </c>
      <c r="K838" s="2" t="str">
        <f>Table1[[#This Row],[Group Name]]</f>
        <v>Sales Engineers</v>
      </c>
    </row>
    <row r="839" spans="1:11" x14ac:dyDescent="0.25">
      <c r="D839" s="5" t="s">
        <v>1538</v>
      </c>
      <c r="E839" s="5" t="s">
        <v>1537</v>
      </c>
      <c r="F8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39" s="2" t="str">
        <f>IF(Table1[[#This Row],[Type]]="Major",Table1[[#This Row],[Major Group]],G838)</f>
        <v>41-0000</v>
      </c>
      <c r="H839" s="2" t="str">
        <f>IF(Table1[[#This Row],[Major Group]]&lt;&gt;"","n/a",IF(Table1[[#This Row],[Minor Group]]&lt;&gt;"",Table1[[#This Row],[Minor Group]],H838))</f>
        <v>41-9000</v>
      </c>
      <c r="I839" s="2" t="str">
        <f>IF(Table1[[#This Row],[Major Group]]&lt;&gt;"","n/a",IF(Table1[[#This Row],[Minor Group]]&lt;&gt;"","n/a",IF(Table1[[#This Row],[Broad Group]]&lt;&gt;"",Table1[[#This Row],[Broad Group]],I838)))</f>
        <v>41-9030</v>
      </c>
      <c r="J8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Occupation]],J838))))</f>
        <v>41-9031</v>
      </c>
      <c r="K839" s="2" t="str">
        <f>Table1[[#This Row],[Group Name]]</f>
        <v>Sales Engineers</v>
      </c>
    </row>
    <row r="840" spans="1:11" x14ac:dyDescent="0.25">
      <c r="C840" s="1" t="s">
        <v>1539</v>
      </c>
      <c r="E840" s="1" t="s">
        <v>1540</v>
      </c>
      <c r="F8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40" s="2" t="str">
        <f>IF(Table1[[#This Row],[Type]]="Major",Table1[[#This Row],[Major Group]],G839)</f>
        <v>41-0000</v>
      </c>
      <c r="H840" s="2" t="str">
        <f>IF(Table1[[#This Row],[Major Group]]&lt;&gt;"","n/a",IF(Table1[[#This Row],[Minor Group]]&lt;&gt;"",Table1[[#This Row],[Minor Group]],H839))</f>
        <v>41-9000</v>
      </c>
      <c r="I840" s="2" t="str">
        <f>IF(Table1[[#This Row],[Major Group]]&lt;&gt;"","n/a",IF(Table1[[#This Row],[Minor Group]]&lt;&gt;"","n/a",IF(Table1[[#This Row],[Broad Group]]&lt;&gt;"",Table1[[#This Row],[Broad Group]],I839)))</f>
        <v>41-9040</v>
      </c>
      <c r="J8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Occupation]],J839))))</f>
        <v>n/a</v>
      </c>
      <c r="K840" s="2" t="str">
        <f>Table1[[#This Row],[Group Name]]</f>
        <v>Telemarketers</v>
      </c>
    </row>
    <row r="841" spans="1:11" x14ac:dyDescent="0.25">
      <c r="D841" s="5" t="s">
        <v>1541</v>
      </c>
      <c r="E841" s="5" t="s">
        <v>1540</v>
      </c>
      <c r="F8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41" s="2" t="str">
        <f>IF(Table1[[#This Row],[Type]]="Major",Table1[[#This Row],[Major Group]],G840)</f>
        <v>41-0000</v>
      </c>
      <c r="H841" s="2" t="str">
        <f>IF(Table1[[#This Row],[Major Group]]&lt;&gt;"","n/a",IF(Table1[[#This Row],[Minor Group]]&lt;&gt;"",Table1[[#This Row],[Minor Group]],H840))</f>
        <v>41-9000</v>
      </c>
      <c r="I841" s="2" t="str">
        <f>IF(Table1[[#This Row],[Major Group]]&lt;&gt;"","n/a",IF(Table1[[#This Row],[Minor Group]]&lt;&gt;"","n/a",IF(Table1[[#This Row],[Broad Group]]&lt;&gt;"",Table1[[#This Row],[Broad Group]],I840)))</f>
        <v>41-9040</v>
      </c>
      <c r="J8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Occupation]],J840))))</f>
        <v>41-9041</v>
      </c>
      <c r="K841" s="2" t="str">
        <f>Table1[[#This Row],[Group Name]]</f>
        <v>Telemarketers</v>
      </c>
    </row>
    <row r="842" spans="1:11" ht="30" x14ac:dyDescent="0.25">
      <c r="C842" s="1" t="s">
        <v>1542</v>
      </c>
      <c r="E842" s="1" t="s">
        <v>1543</v>
      </c>
      <c r="F8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42" s="2" t="str">
        <f>IF(Table1[[#This Row],[Type]]="Major",Table1[[#This Row],[Major Group]],G841)</f>
        <v>41-0000</v>
      </c>
      <c r="H842" s="2" t="str">
        <f>IF(Table1[[#This Row],[Major Group]]&lt;&gt;"","n/a",IF(Table1[[#This Row],[Minor Group]]&lt;&gt;"",Table1[[#This Row],[Minor Group]],H841))</f>
        <v>41-9000</v>
      </c>
      <c r="I842" s="2" t="str">
        <f>IF(Table1[[#This Row],[Major Group]]&lt;&gt;"","n/a",IF(Table1[[#This Row],[Minor Group]]&lt;&gt;"","n/a",IF(Table1[[#This Row],[Broad Group]]&lt;&gt;"",Table1[[#This Row],[Broad Group]],I841)))</f>
        <v>41-9090</v>
      </c>
      <c r="J8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Occupation]],J841))))</f>
        <v>n/a</v>
      </c>
      <c r="K842" s="2" t="str">
        <f>Table1[[#This Row],[Group Name]]</f>
        <v>Miscellaneous Sales and Related Workers</v>
      </c>
    </row>
    <row r="843" spans="1:11" ht="38.25" x14ac:dyDescent="0.25">
      <c r="D843" s="5" t="s">
        <v>1544</v>
      </c>
      <c r="E843" s="5" t="s">
        <v>1545</v>
      </c>
      <c r="F8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43" s="2" t="str">
        <f>IF(Table1[[#This Row],[Type]]="Major",Table1[[#This Row],[Major Group]],G842)</f>
        <v>41-0000</v>
      </c>
      <c r="H843" s="2" t="str">
        <f>IF(Table1[[#This Row],[Major Group]]&lt;&gt;"","n/a",IF(Table1[[#This Row],[Minor Group]]&lt;&gt;"",Table1[[#This Row],[Minor Group]],H842))</f>
        <v>41-9000</v>
      </c>
      <c r="I843" s="2" t="str">
        <f>IF(Table1[[#This Row],[Major Group]]&lt;&gt;"","n/a",IF(Table1[[#This Row],[Minor Group]]&lt;&gt;"","n/a",IF(Table1[[#This Row],[Broad Group]]&lt;&gt;"",Table1[[#This Row],[Broad Group]],I842)))</f>
        <v>41-9090</v>
      </c>
      <c r="J8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Occupation]],J842))))</f>
        <v>41-9091</v>
      </c>
      <c r="K843" s="2" t="str">
        <f>Table1[[#This Row],[Group Name]]</f>
        <v>Door-to-Door Sales Workers, News and Street Vendors, and Related Workers</v>
      </c>
    </row>
    <row r="844" spans="1:11" x14ac:dyDescent="0.25">
      <c r="D844" s="5" t="s">
        <v>1546</v>
      </c>
      <c r="E844" s="5" t="s">
        <v>1547</v>
      </c>
      <c r="F8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44" s="2" t="str">
        <f>IF(Table1[[#This Row],[Type]]="Major",Table1[[#This Row],[Major Group]],G843)</f>
        <v>41-0000</v>
      </c>
      <c r="H844" s="2" t="str">
        <f>IF(Table1[[#This Row],[Major Group]]&lt;&gt;"","n/a",IF(Table1[[#This Row],[Minor Group]]&lt;&gt;"",Table1[[#This Row],[Minor Group]],H843))</f>
        <v>41-9000</v>
      </c>
      <c r="I844" s="2" t="str">
        <f>IF(Table1[[#This Row],[Major Group]]&lt;&gt;"","n/a",IF(Table1[[#This Row],[Minor Group]]&lt;&gt;"","n/a",IF(Table1[[#This Row],[Broad Group]]&lt;&gt;"",Table1[[#This Row],[Broad Group]],I843)))</f>
        <v>41-9090</v>
      </c>
      <c r="J8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Occupation]],J843))))</f>
        <v>41-9099</v>
      </c>
      <c r="K844" s="2" t="str">
        <f>Table1[[#This Row],[Group Name]]</f>
        <v>Sales and Related Workers, All Other</v>
      </c>
    </row>
    <row r="845" spans="1:11" ht="15.75" x14ac:dyDescent="0.25">
      <c r="A845" s="4" t="s">
        <v>1548</v>
      </c>
      <c r="E845" s="4" t="s">
        <v>1549</v>
      </c>
      <c r="F8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845" s="2" t="str">
        <f>IF(Table1[[#This Row],[Type]]="Major",Table1[[#This Row],[Major Group]],G844)</f>
        <v>43-0000</v>
      </c>
      <c r="H845" s="2" t="str">
        <f>IF(Table1[[#This Row],[Major Group]]&lt;&gt;"","n/a",IF(Table1[[#This Row],[Minor Group]]&lt;&gt;"",Table1[[#This Row],[Minor Group]],H844))</f>
        <v>n/a</v>
      </c>
      <c r="I845" s="2" t="str">
        <f>IF(Table1[[#This Row],[Major Group]]&lt;&gt;"","n/a",IF(Table1[[#This Row],[Minor Group]]&lt;&gt;"","n/a",IF(Table1[[#This Row],[Broad Group]]&lt;&gt;"",Table1[[#This Row],[Broad Group]],I844)))</f>
        <v>n/a</v>
      </c>
      <c r="J8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Occupation]],J844))))</f>
        <v>n/a</v>
      </c>
      <c r="K845" s="2" t="str">
        <f>Table1[[#This Row],[Group Name]]</f>
        <v>Office and Administrative Support Occupations</v>
      </c>
    </row>
    <row r="846" spans="1:11" x14ac:dyDescent="0.25">
      <c r="B846" s="3" t="s">
        <v>1550</v>
      </c>
      <c r="E846" s="3" t="s">
        <v>1551</v>
      </c>
      <c r="F8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46" s="2" t="str">
        <f>IF(Table1[[#This Row],[Type]]="Major",Table1[[#This Row],[Major Group]],G845)</f>
        <v>43-0000</v>
      </c>
      <c r="H846" s="2" t="str">
        <f>IF(Table1[[#This Row],[Major Group]]&lt;&gt;"","n/a",IF(Table1[[#This Row],[Minor Group]]&lt;&gt;"",Table1[[#This Row],[Minor Group]],H845))</f>
        <v>43-1000</v>
      </c>
      <c r="I846" s="2" t="str">
        <f>IF(Table1[[#This Row],[Major Group]]&lt;&gt;"","n/a",IF(Table1[[#This Row],[Minor Group]]&lt;&gt;"","n/a",IF(Table1[[#This Row],[Broad Group]]&lt;&gt;"",Table1[[#This Row],[Broad Group]],I845)))</f>
        <v>n/a</v>
      </c>
      <c r="J8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Occupation]],J845))))</f>
        <v>n/a</v>
      </c>
      <c r="K846" s="2" t="str">
        <f>Table1[[#This Row],[Group Name]]</f>
        <v>Supervisors of Office and Administrative Support Workers</v>
      </c>
    </row>
    <row r="847" spans="1:11" ht="45" x14ac:dyDescent="0.25">
      <c r="C847" s="1" t="s">
        <v>1552</v>
      </c>
      <c r="E847" s="1" t="s">
        <v>1553</v>
      </c>
      <c r="F8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47" s="2" t="str">
        <f>IF(Table1[[#This Row],[Type]]="Major",Table1[[#This Row],[Major Group]],G846)</f>
        <v>43-0000</v>
      </c>
      <c r="H847" s="2" t="str">
        <f>IF(Table1[[#This Row],[Major Group]]&lt;&gt;"","n/a",IF(Table1[[#This Row],[Minor Group]]&lt;&gt;"",Table1[[#This Row],[Minor Group]],H846))</f>
        <v>43-1000</v>
      </c>
      <c r="I847" s="2" t="str">
        <f>IF(Table1[[#This Row],[Major Group]]&lt;&gt;"","n/a",IF(Table1[[#This Row],[Minor Group]]&lt;&gt;"","n/a",IF(Table1[[#This Row],[Broad Group]]&lt;&gt;"",Table1[[#This Row],[Broad Group]],I846)))</f>
        <v>43-1010</v>
      </c>
      <c r="J8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Occupation]],J846))))</f>
        <v>n/a</v>
      </c>
      <c r="K847" s="2" t="str">
        <f>Table1[[#This Row],[Group Name]]</f>
        <v>First-Line Supervisors of Office and Administrative Support Workers</v>
      </c>
    </row>
    <row r="848" spans="1:11" ht="25.5" x14ac:dyDescent="0.25">
      <c r="D848" s="5" t="s">
        <v>1554</v>
      </c>
      <c r="E848" s="5" t="s">
        <v>1553</v>
      </c>
      <c r="F8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48" s="2" t="str">
        <f>IF(Table1[[#This Row],[Type]]="Major",Table1[[#This Row],[Major Group]],G847)</f>
        <v>43-0000</v>
      </c>
      <c r="H848" s="2" t="str">
        <f>IF(Table1[[#This Row],[Major Group]]&lt;&gt;"","n/a",IF(Table1[[#This Row],[Minor Group]]&lt;&gt;"",Table1[[#This Row],[Minor Group]],H847))</f>
        <v>43-1000</v>
      </c>
      <c r="I848" s="2" t="str">
        <f>IF(Table1[[#This Row],[Major Group]]&lt;&gt;"","n/a",IF(Table1[[#This Row],[Minor Group]]&lt;&gt;"","n/a",IF(Table1[[#This Row],[Broad Group]]&lt;&gt;"",Table1[[#This Row],[Broad Group]],I847)))</f>
        <v>43-1010</v>
      </c>
      <c r="J8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Occupation]],J847))))</f>
        <v>43-1011</v>
      </c>
      <c r="K848" s="2" t="str">
        <f>Table1[[#This Row],[Group Name]]</f>
        <v>First-Line Supervisors of Office and Administrative Support Workers</v>
      </c>
    </row>
    <row r="849" spans="2:11" x14ac:dyDescent="0.25">
      <c r="B849" s="3" t="s">
        <v>1555</v>
      </c>
      <c r="E849" s="3" t="s">
        <v>1556</v>
      </c>
      <c r="F8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49" s="2" t="str">
        <f>IF(Table1[[#This Row],[Type]]="Major",Table1[[#This Row],[Major Group]],G848)</f>
        <v>43-0000</v>
      </c>
      <c r="H849" s="2" t="str">
        <f>IF(Table1[[#This Row],[Major Group]]&lt;&gt;"","n/a",IF(Table1[[#This Row],[Minor Group]]&lt;&gt;"",Table1[[#This Row],[Minor Group]],H848))</f>
        <v>43-2000</v>
      </c>
      <c r="I849" s="2" t="str">
        <f>IF(Table1[[#This Row],[Major Group]]&lt;&gt;"","n/a",IF(Table1[[#This Row],[Minor Group]]&lt;&gt;"","n/a",IF(Table1[[#This Row],[Broad Group]]&lt;&gt;"",Table1[[#This Row],[Broad Group]],I848)))</f>
        <v>n/a</v>
      </c>
      <c r="J8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Occupation]],J848))))</f>
        <v>n/a</v>
      </c>
      <c r="K849" s="2" t="str">
        <f>Table1[[#This Row],[Group Name]]</f>
        <v>Communications Equipment Operators</v>
      </c>
    </row>
    <row r="850" spans="2:11" ht="30" x14ac:dyDescent="0.25">
      <c r="C850" s="1" t="s">
        <v>1557</v>
      </c>
      <c r="E850" s="1" t="s">
        <v>1558</v>
      </c>
      <c r="F8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50" s="2" t="str">
        <f>IF(Table1[[#This Row],[Type]]="Major",Table1[[#This Row],[Major Group]],G849)</f>
        <v>43-0000</v>
      </c>
      <c r="H850" s="2" t="str">
        <f>IF(Table1[[#This Row],[Major Group]]&lt;&gt;"","n/a",IF(Table1[[#This Row],[Minor Group]]&lt;&gt;"",Table1[[#This Row],[Minor Group]],H849))</f>
        <v>43-2000</v>
      </c>
      <c r="I850" s="2" t="str">
        <f>IF(Table1[[#This Row],[Major Group]]&lt;&gt;"","n/a",IF(Table1[[#This Row],[Minor Group]]&lt;&gt;"","n/a",IF(Table1[[#This Row],[Broad Group]]&lt;&gt;"",Table1[[#This Row],[Broad Group]],I849)))</f>
        <v>43-2010</v>
      </c>
      <c r="J8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Occupation]],J849))))</f>
        <v>n/a</v>
      </c>
      <c r="K850" s="2" t="str">
        <f>Table1[[#This Row],[Group Name]]</f>
        <v>Switchboard Operators, Including Answering Service</v>
      </c>
    </row>
    <row r="851" spans="2:11" ht="25.5" x14ac:dyDescent="0.25">
      <c r="D851" s="5" t="s">
        <v>1559</v>
      </c>
      <c r="E851" s="5" t="s">
        <v>1558</v>
      </c>
      <c r="F8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51" s="2" t="str">
        <f>IF(Table1[[#This Row],[Type]]="Major",Table1[[#This Row],[Major Group]],G850)</f>
        <v>43-0000</v>
      </c>
      <c r="H851" s="2" t="str">
        <f>IF(Table1[[#This Row],[Major Group]]&lt;&gt;"","n/a",IF(Table1[[#This Row],[Minor Group]]&lt;&gt;"",Table1[[#This Row],[Minor Group]],H850))</f>
        <v>43-2000</v>
      </c>
      <c r="I851" s="2" t="str">
        <f>IF(Table1[[#This Row],[Major Group]]&lt;&gt;"","n/a",IF(Table1[[#This Row],[Minor Group]]&lt;&gt;"","n/a",IF(Table1[[#This Row],[Broad Group]]&lt;&gt;"",Table1[[#This Row],[Broad Group]],I850)))</f>
        <v>43-2010</v>
      </c>
      <c r="J8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Occupation]],J850))))</f>
        <v>43-2011</v>
      </c>
      <c r="K851" s="2" t="str">
        <f>Table1[[#This Row],[Group Name]]</f>
        <v>Switchboard Operators, Including Answering Service</v>
      </c>
    </row>
    <row r="852" spans="2:11" x14ac:dyDescent="0.25">
      <c r="C852" s="1" t="s">
        <v>1560</v>
      </c>
      <c r="E852" s="1" t="s">
        <v>1561</v>
      </c>
      <c r="F8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52" s="2" t="str">
        <f>IF(Table1[[#This Row],[Type]]="Major",Table1[[#This Row],[Major Group]],G851)</f>
        <v>43-0000</v>
      </c>
      <c r="H852" s="2" t="str">
        <f>IF(Table1[[#This Row],[Major Group]]&lt;&gt;"","n/a",IF(Table1[[#This Row],[Minor Group]]&lt;&gt;"",Table1[[#This Row],[Minor Group]],H851))</f>
        <v>43-2000</v>
      </c>
      <c r="I852" s="2" t="str">
        <f>IF(Table1[[#This Row],[Major Group]]&lt;&gt;"","n/a",IF(Table1[[#This Row],[Minor Group]]&lt;&gt;"","n/a",IF(Table1[[#This Row],[Broad Group]]&lt;&gt;"",Table1[[#This Row],[Broad Group]],I851)))</f>
        <v>43-2020</v>
      </c>
      <c r="J8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Occupation]],J851))))</f>
        <v>n/a</v>
      </c>
      <c r="K852" s="2" t="str">
        <f>Table1[[#This Row],[Group Name]]</f>
        <v>Telephone Operators</v>
      </c>
    </row>
    <row r="853" spans="2:11" x14ac:dyDescent="0.25">
      <c r="D853" s="5" t="s">
        <v>1562</v>
      </c>
      <c r="E853" s="5" t="s">
        <v>1561</v>
      </c>
      <c r="F8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53" s="2" t="str">
        <f>IF(Table1[[#This Row],[Type]]="Major",Table1[[#This Row],[Major Group]],G852)</f>
        <v>43-0000</v>
      </c>
      <c r="H853" s="2" t="str">
        <f>IF(Table1[[#This Row],[Major Group]]&lt;&gt;"","n/a",IF(Table1[[#This Row],[Minor Group]]&lt;&gt;"",Table1[[#This Row],[Minor Group]],H852))</f>
        <v>43-2000</v>
      </c>
      <c r="I853" s="2" t="str">
        <f>IF(Table1[[#This Row],[Major Group]]&lt;&gt;"","n/a",IF(Table1[[#This Row],[Minor Group]]&lt;&gt;"","n/a",IF(Table1[[#This Row],[Broad Group]]&lt;&gt;"",Table1[[#This Row],[Broad Group]],I852)))</f>
        <v>43-2020</v>
      </c>
      <c r="J8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Occupation]],J852))))</f>
        <v>43-2021</v>
      </c>
      <c r="K853" s="2" t="str">
        <f>Table1[[#This Row],[Group Name]]</f>
        <v>Telephone Operators</v>
      </c>
    </row>
    <row r="854" spans="2:11" ht="30" x14ac:dyDescent="0.25">
      <c r="C854" s="1" t="s">
        <v>1563</v>
      </c>
      <c r="E854" s="1" t="s">
        <v>1564</v>
      </c>
      <c r="F8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54" s="2" t="str">
        <f>IF(Table1[[#This Row],[Type]]="Major",Table1[[#This Row],[Major Group]],G853)</f>
        <v>43-0000</v>
      </c>
      <c r="H854" s="2" t="str">
        <f>IF(Table1[[#This Row],[Major Group]]&lt;&gt;"","n/a",IF(Table1[[#This Row],[Minor Group]]&lt;&gt;"",Table1[[#This Row],[Minor Group]],H853))</f>
        <v>43-2000</v>
      </c>
      <c r="I854" s="2" t="str">
        <f>IF(Table1[[#This Row],[Major Group]]&lt;&gt;"","n/a",IF(Table1[[#This Row],[Minor Group]]&lt;&gt;"","n/a",IF(Table1[[#This Row],[Broad Group]]&lt;&gt;"",Table1[[#This Row],[Broad Group]],I853)))</f>
        <v>43-2090</v>
      </c>
      <c r="J8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Occupation]],J853))))</f>
        <v>n/a</v>
      </c>
      <c r="K854" s="2" t="str">
        <f>Table1[[#This Row],[Group Name]]</f>
        <v>Miscellaneous Communications Equipment Operators</v>
      </c>
    </row>
    <row r="855" spans="2:11" ht="25.5" x14ac:dyDescent="0.25">
      <c r="D855" s="5" t="s">
        <v>1565</v>
      </c>
      <c r="E855" s="5" t="s">
        <v>1566</v>
      </c>
      <c r="F8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55" s="2" t="str">
        <f>IF(Table1[[#This Row],[Type]]="Major",Table1[[#This Row],[Major Group]],G854)</f>
        <v>43-0000</v>
      </c>
      <c r="H855" s="2" t="str">
        <f>IF(Table1[[#This Row],[Major Group]]&lt;&gt;"","n/a",IF(Table1[[#This Row],[Minor Group]]&lt;&gt;"",Table1[[#This Row],[Minor Group]],H854))</f>
        <v>43-2000</v>
      </c>
      <c r="I855" s="2" t="str">
        <f>IF(Table1[[#This Row],[Major Group]]&lt;&gt;"","n/a",IF(Table1[[#This Row],[Minor Group]]&lt;&gt;"","n/a",IF(Table1[[#This Row],[Broad Group]]&lt;&gt;"",Table1[[#This Row],[Broad Group]],I854)))</f>
        <v>43-2090</v>
      </c>
      <c r="J8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Occupation]],J854))))</f>
        <v>43-2099</v>
      </c>
      <c r="K855" s="2" t="str">
        <f>Table1[[#This Row],[Group Name]]</f>
        <v>Communications Equipment Operators, All Other</v>
      </c>
    </row>
    <row r="856" spans="2:11" x14ac:dyDescent="0.25">
      <c r="B856" s="3" t="s">
        <v>1567</v>
      </c>
      <c r="E856" s="3" t="s">
        <v>1568</v>
      </c>
      <c r="F8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56" s="2" t="str">
        <f>IF(Table1[[#This Row],[Type]]="Major",Table1[[#This Row],[Major Group]],G855)</f>
        <v>43-0000</v>
      </c>
      <c r="H856" s="2" t="str">
        <f>IF(Table1[[#This Row],[Major Group]]&lt;&gt;"","n/a",IF(Table1[[#This Row],[Minor Group]]&lt;&gt;"",Table1[[#This Row],[Minor Group]],H855))</f>
        <v>43-3000</v>
      </c>
      <c r="I856" s="2" t="str">
        <f>IF(Table1[[#This Row],[Major Group]]&lt;&gt;"","n/a",IF(Table1[[#This Row],[Minor Group]]&lt;&gt;"","n/a",IF(Table1[[#This Row],[Broad Group]]&lt;&gt;"",Table1[[#This Row],[Broad Group]],I855)))</f>
        <v>n/a</v>
      </c>
      <c r="J8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Occupation]],J855))))</f>
        <v>n/a</v>
      </c>
      <c r="K856" s="2" t="str">
        <f>Table1[[#This Row],[Group Name]]</f>
        <v>Financial Clerks</v>
      </c>
    </row>
    <row r="857" spans="2:11" x14ac:dyDescent="0.25">
      <c r="C857" s="1" t="s">
        <v>1569</v>
      </c>
      <c r="E857" s="1" t="s">
        <v>1570</v>
      </c>
      <c r="F8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57" s="2" t="str">
        <f>IF(Table1[[#This Row],[Type]]="Major",Table1[[#This Row],[Major Group]],G856)</f>
        <v>43-0000</v>
      </c>
      <c r="H857" s="2" t="str">
        <f>IF(Table1[[#This Row],[Major Group]]&lt;&gt;"","n/a",IF(Table1[[#This Row],[Minor Group]]&lt;&gt;"",Table1[[#This Row],[Minor Group]],H856))</f>
        <v>43-3000</v>
      </c>
      <c r="I857" s="2" t="str">
        <f>IF(Table1[[#This Row],[Major Group]]&lt;&gt;"","n/a",IF(Table1[[#This Row],[Minor Group]]&lt;&gt;"","n/a",IF(Table1[[#This Row],[Broad Group]]&lt;&gt;"",Table1[[#This Row],[Broad Group]],I856)))</f>
        <v>43-3010</v>
      </c>
      <c r="J8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Occupation]],J856))))</f>
        <v>n/a</v>
      </c>
      <c r="K857" s="2" t="str">
        <f>Table1[[#This Row],[Group Name]]</f>
        <v>Bill and Account Collectors</v>
      </c>
    </row>
    <row r="858" spans="2:11" x14ac:dyDescent="0.25">
      <c r="D858" s="5" t="s">
        <v>1571</v>
      </c>
      <c r="E858" s="5" t="s">
        <v>1570</v>
      </c>
      <c r="F8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58" s="2" t="str">
        <f>IF(Table1[[#This Row],[Type]]="Major",Table1[[#This Row],[Major Group]],G857)</f>
        <v>43-0000</v>
      </c>
      <c r="H858" s="2" t="str">
        <f>IF(Table1[[#This Row],[Major Group]]&lt;&gt;"","n/a",IF(Table1[[#This Row],[Minor Group]]&lt;&gt;"",Table1[[#This Row],[Minor Group]],H857))</f>
        <v>43-3000</v>
      </c>
      <c r="I858" s="2" t="str">
        <f>IF(Table1[[#This Row],[Major Group]]&lt;&gt;"","n/a",IF(Table1[[#This Row],[Minor Group]]&lt;&gt;"","n/a",IF(Table1[[#This Row],[Broad Group]]&lt;&gt;"",Table1[[#This Row],[Broad Group]],I857)))</f>
        <v>43-3010</v>
      </c>
      <c r="J8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Occupation]],J857))))</f>
        <v>43-3011</v>
      </c>
      <c r="K858" s="2" t="str">
        <f>Table1[[#This Row],[Group Name]]</f>
        <v>Bill and Account Collectors</v>
      </c>
    </row>
    <row r="859" spans="2:11" x14ac:dyDescent="0.25">
      <c r="C859" s="1" t="s">
        <v>1572</v>
      </c>
      <c r="E859" s="1" t="s">
        <v>1573</v>
      </c>
      <c r="F8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59" s="2" t="str">
        <f>IF(Table1[[#This Row],[Type]]="Major",Table1[[#This Row],[Major Group]],G858)</f>
        <v>43-0000</v>
      </c>
      <c r="H859" s="2" t="str">
        <f>IF(Table1[[#This Row],[Major Group]]&lt;&gt;"","n/a",IF(Table1[[#This Row],[Minor Group]]&lt;&gt;"",Table1[[#This Row],[Minor Group]],H858))</f>
        <v>43-3000</v>
      </c>
      <c r="I859" s="2" t="str">
        <f>IF(Table1[[#This Row],[Major Group]]&lt;&gt;"","n/a",IF(Table1[[#This Row],[Minor Group]]&lt;&gt;"","n/a",IF(Table1[[#This Row],[Broad Group]]&lt;&gt;"",Table1[[#This Row],[Broad Group]],I858)))</f>
        <v>43-3020</v>
      </c>
      <c r="J8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Occupation]],J858))))</f>
        <v>n/a</v>
      </c>
      <c r="K859" s="2" t="str">
        <f>Table1[[#This Row],[Group Name]]</f>
        <v>Billing and Posting Clerks</v>
      </c>
    </row>
    <row r="860" spans="2:11" x14ac:dyDescent="0.25">
      <c r="D860" s="5" t="s">
        <v>1574</v>
      </c>
      <c r="E860" s="5" t="s">
        <v>1573</v>
      </c>
      <c r="F8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60" s="2" t="str">
        <f>IF(Table1[[#This Row],[Type]]="Major",Table1[[#This Row],[Major Group]],G859)</f>
        <v>43-0000</v>
      </c>
      <c r="H860" s="2" t="str">
        <f>IF(Table1[[#This Row],[Major Group]]&lt;&gt;"","n/a",IF(Table1[[#This Row],[Minor Group]]&lt;&gt;"",Table1[[#This Row],[Minor Group]],H859))</f>
        <v>43-3000</v>
      </c>
      <c r="I860" s="2" t="str">
        <f>IF(Table1[[#This Row],[Major Group]]&lt;&gt;"","n/a",IF(Table1[[#This Row],[Minor Group]]&lt;&gt;"","n/a",IF(Table1[[#This Row],[Broad Group]]&lt;&gt;"",Table1[[#This Row],[Broad Group]],I859)))</f>
        <v>43-3020</v>
      </c>
      <c r="J8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Occupation]],J859))))</f>
        <v>43-3021</v>
      </c>
      <c r="K860" s="2" t="str">
        <f>Table1[[#This Row],[Group Name]]</f>
        <v>Billing and Posting Clerks</v>
      </c>
    </row>
    <row r="861" spans="2:11" ht="30" x14ac:dyDescent="0.25">
      <c r="C861" s="1" t="s">
        <v>1575</v>
      </c>
      <c r="E861" s="1" t="s">
        <v>1576</v>
      </c>
      <c r="F8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61" s="2" t="str">
        <f>IF(Table1[[#This Row],[Type]]="Major",Table1[[#This Row],[Major Group]],G860)</f>
        <v>43-0000</v>
      </c>
      <c r="H861" s="2" t="str">
        <f>IF(Table1[[#This Row],[Major Group]]&lt;&gt;"","n/a",IF(Table1[[#This Row],[Minor Group]]&lt;&gt;"",Table1[[#This Row],[Minor Group]],H860))</f>
        <v>43-3000</v>
      </c>
      <c r="I861" s="2" t="str">
        <f>IF(Table1[[#This Row],[Major Group]]&lt;&gt;"","n/a",IF(Table1[[#This Row],[Minor Group]]&lt;&gt;"","n/a",IF(Table1[[#This Row],[Broad Group]]&lt;&gt;"",Table1[[#This Row],[Broad Group]],I860)))</f>
        <v>43-3030</v>
      </c>
      <c r="J8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Occupation]],J860))))</f>
        <v>n/a</v>
      </c>
      <c r="K861" s="2" t="str">
        <f>Table1[[#This Row],[Group Name]]</f>
        <v>Bookkeeping, Accounting, and Auditing Clerks</v>
      </c>
    </row>
    <row r="862" spans="2:11" ht="25.5" x14ac:dyDescent="0.25">
      <c r="D862" s="5" t="s">
        <v>1577</v>
      </c>
      <c r="E862" s="5" t="s">
        <v>1576</v>
      </c>
      <c r="F8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62" s="2" t="str">
        <f>IF(Table1[[#This Row],[Type]]="Major",Table1[[#This Row],[Major Group]],G861)</f>
        <v>43-0000</v>
      </c>
      <c r="H862" s="2" t="str">
        <f>IF(Table1[[#This Row],[Major Group]]&lt;&gt;"","n/a",IF(Table1[[#This Row],[Minor Group]]&lt;&gt;"",Table1[[#This Row],[Minor Group]],H861))</f>
        <v>43-3000</v>
      </c>
      <c r="I862" s="2" t="str">
        <f>IF(Table1[[#This Row],[Major Group]]&lt;&gt;"","n/a",IF(Table1[[#This Row],[Minor Group]]&lt;&gt;"","n/a",IF(Table1[[#This Row],[Broad Group]]&lt;&gt;"",Table1[[#This Row],[Broad Group]],I861)))</f>
        <v>43-3030</v>
      </c>
      <c r="J8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Occupation]],J861))))</f>
        <v>43-3031</v>
      </c>
      <c r="K862" s="2" t="str">
        <f>Table1[[#This Row],[Group Name]]</f>
        <v>Bookkeeping, Accounting, and Auditing Clerks</v>
      </c>
    </row>
    <row r="863" spans="2:11" x14ac:dyDescent="0.25">
      <c r="C863" s="1" t="s">
        <v>1578</v>
      </c>
      <c r="E863" s="1" t="s">
        <v>1579</v>
      </c>
      <c r="F8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63" s="2" t="str">
        <f>IF(Table1[[#This Row],[Type]]="Major",Table1[[#This Row],[Major Group]],G862)</f>
        <v>43-0000</v>
      </c>
      <c r="H863" s="2" t="str">
        <f>IF(Table1[[#This Row],[Major Group]]&lt;&gt;"","n/a",IF(Table1[[#This Row],[Minor Group]]&lt;&gt;"",Table1[[#This Row],[Minor Group]],H862))</f>
        <v>43-3000</v>
      </c>
      <c r="I863" s="2" t="str">
        <f>IF(Table1[[#This Row],[Major Group]]&lt;&gt;"","n/a",IF(Table1[[#This Row],[Minor Group]]&lt;&gt;"","n/a",IF(Table1[[#This Row],[Broad Group]]&lt;&gt;"",Table1[[#This Row],[Broad Group]],I862)))</f>
        <v>43-3040</v>
      </c>
      <c r="J8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Occupation]],J862))))</f>
        <v>n/a</v>
      </c>
      <c r="K863" s="2" t="str">
        <f>Table1[[#This Row],[Group Name]]</f>
        <v>Gambling Cage Workers</v>
      </c>
    </row>
    <row r="864" spans="2:11" x14ac:dyDescent="0.25">
      <c r="D864" s="5" t="s">
        <v>1580</v>
      </c>
      <c r="E864" s="5" t="s">
        <v>1579</v>
      </c>
      <c r="F8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64" s="2" t="str">
        <f>IF(Table1[[#This Row],[Type]]="Major",Table1[[#This Row],[Major Group]],G863)</f>
        <v>43-0000</v>
      </c>
      <c r="H864" s="2" t="str">
        <f>IF(Table1[[#This Row],[Major Group]]&lt;&gt;"","n/a",IF(Table1[[#This Row],[Minor Group]]&lt;&gt;"",Table1[[#This Row],[Minor Group]],H863))</f>
        <v>43-3000</v>
      </c>
      <c r="I864" s="2" t="str">
        <f>IF(Table1[[#This Row],[Major Group]]&lt;&gt;"","n/a",IF(Table1[[#This Row],[Minor Group]]&lt;&gt;"","n/a",IF(Table1[[#This Row],[Broad Group]]&lt;&gt;"",Table1[[#This Row],[Broad Group]],I863)))</f>
        <v>43-3040</v>
      </c>
      <c r="J8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Occupation]],J863))))</f>
        <v>43-3041</v>
      </c>
      <c r="K864" s="2" t="str">
        <f>Table1[[#This Row],[Group Name]]</f>
        <v>Gambling Cage Workers</v>
      </c>
    </row>
    <row r="865" spans="2:11" x14ac:dyDescent="0.25">
      <c r="C865" s="1" t="s">
        <v>1581</v>
      </c>
      <c r="E865" s="1" t="s">
        <v>1582</v>
      </c>
      <c r="F8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65" s="2" t="str">
        <f>IF(Table1[[#This Row],[Type]]="Major",Table1[[#This Row],[Major Group]],G864)</f>
        <v>43-0000</v>
      </c>
      <c r="H865" s="2" t="str">
        <f>IF(Table1[[#This Row],[Major Group]]&lt;&gt;"","n/a",IF(Table1[[#This Row],[Minor Group]]&lt;&gt;"",Table1[[#This Row],[Minor Group]],H864))</f>
        <v>43-3000</v>
      </c>
      <c r="I865" s="2" t="str">
        <f>IF(Table1[[#This Row],[Major Group]]&lt;&gt;"","n/a",IF(Table1[[#This Row],[Minor Group]]&lt;&gt;"","n/a",IF(Table1[[#This Row],[Broad Group]]&lt;&gt;"",Table1[[#This Row],[Broad Group]],I864)))</f>
        <v>43-3050</v>
      </c>
      <c r="J8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Occupation]],J864))))</f>
        <v>n/a</v>
      </c>
      <c r="K865" s="2" t="str">
        <f>Table1[[#This Row],[Group Name]]</f>
        <v>Payroll and Timekeeping Clerks</v>
      </c>
    </row>
    <row r="866" spans="2:11" x14ac:dyDescent="0.25">
      <c r="D866" s="5" t="s">
        <v>1583</v>
      </c>
      <c r="E866" s="5" t="s">
        <v>1582</v>
      </c>
      <c r="F8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66" s="2" t="str">
        <f>IF(Table1[[#This Row],[Type]]="Major",Table1[[#This Row],[Major Group]],G865)</f>
        <v>43-0000</v>
      </c>
      <c r="H866" s="2" t="str">
        <f>IF(Table1[[#This Row],[Major Group]]&lt;&gt;"","n/a",IF(Table1[[#This Row],[Minor Group]]&lt;&gt;"",Table1[[#This Row],[Minor Group]],H865))</f>
        <v>43-3000</v>
      </c>
      <c r="I866" s="2" t="str">
        <f>IF(Table1[[#This Row],[Major Group]]&lt;&gt;"","n/a",IF(Table1[[#This Row],[Minor Group]]&lt;&gt;"","n/a",IF(Table1[[#This Row],[Broad Group]]&lt;&gt;"",Table1[[#This Row],[Broad Group]],I865)))</f>
        <v>43-3050</v>
      </c>
      <c r="J8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Occupation]],J865))))</f>
        <v>43-3051</v>
      </c>
      <c r="K866" s="2" t="str">
        <f>Table1[[#This Row],[Group Name]]</f>
        <v>Payroll and Timekeeping Clerks</v>
      </c>
    </row>
    <row r="867" spans="2:11" x14ac:dyDescent="0.25">
      <c r="C867" s="1" t="s">
        <v>1584</v>
      </c>
      <c r="E867" s="1" t="s">
        <v>1585</v>
      </c>
      <c r="F8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67" s="2" t="str">
        <f>IF(Table1[[#This Row],[Type]]="Major",Table1[[#This Row],[Major Group]],G866)</f>
        <v>43-0000</v>
      </c>
      <c r="H867" s="2" t="str">
        <f>IF(Table1[[#This Row],[Major Group]]&lt;&gt;"","n/a",IF(Table1[[#This Row],[Minor Group]]&lt;&gt;"",Table1[[#This Row],[Minor Group]],H866))</f>
        <v>43-3000</v>
      </c>
      <c r="I867" s="2" t="str">
        <f>IF(Table1[[#This Row],[Major Group]]&lt;&gt;"","n/a",IF(Table1[[#This Row],[Minor Group]]&lt;&gt;"","n/a",IF(Table1[[#This Row],[Broad Group]]&lt;&gt;"",Table1[[#This Row],[Broad Group]],I866)))</f>
        <v>43-3060</v>
      </c>
      <c r="J8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Occupation]],J866))))</f>
        <v>n/a</v>
      </c>
      <c r="K867" s="2" t="str">
        <f>Table1[[#This Row],[Group Name]]</f>
        <v>Procurement Clerks</v>
      </c>
    </row>
    <row r="868" spans="2:11" x14ac:dyDescent="0.25">
      <c r="D868" s="5" t="s">
        <v>1586</v>
      </c>
      <c r="E868" s="5" t="s">
        <v>1585</v>
      </c>
      <c r="F8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68" s="2" t="str">
        <f>IF(Table1[[#This Row],[Type]]="Major",Table1[[#This Row],[Major Group]],G867)</f>
        <v>43-0000</v>
      </c>
      <c r="H868" s="2" t="str">
        <f>IF(Table1[[#This Row],[Major Group]]&lt;&gt;"","n/a",IF(Table1[[#This Row],[Minor Group]]&lt;&gt;"",Table1[[#This Row],[Minor Group]],H867))</f>
        <v>43-3000</v>
      </c>
      <c r="I868" s="2" t="str">
        <f>IF(Table1[[#This Row],[Major Group]]&lt;&gt;"","n/a",IF(Table1[[#This Row],[Minor Group]]&lt;&gt;"","n/a",IF(Table1[[#This Row],[Broad Group]]&lt;&gt;"",Table1[[#This Row],[Broad Group]],I867)))</f>
        <v>43-3060</v>
      </c>
      <c r="J8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Occupation]],J867))))</f>
        <v>43-3061</v>
      </c>
      <c r="K868" s="2" t="str">
        <f>Table1[[#This Row],[Group Name]]</f>
        <v>Procurement Clerks</v>
      </c>
    </row>
    <row r="869" spans="2:11" x14ac:dyDescent="0.25">
      <c r="C869" s="1" t="s">
        <v>1587</v>
      </c>
      <c r="E869" s="1" t="s">
        <v>1588</v>
      </c>
      <c r="F8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69" s="2" t="str">
        <f>IF(Table1[[#This Row],[Type]]="Major",Table1[[#This Row],[Major Group]],G868)</f>
        <v>43-0000</v>
      </c>
      <c r="H869" s="2" t="str">
        <f>IF(Table1[[#This Row],[Major Group]]&lt;&gt;"","n/a",IF(Table1[[#This Row],[Minor Group]]&lt;&gt;"",Table1[[#This Row],[Minor Group]],H868))</f>
        <v>43-3000</v>
      </c>
      <c r="I869" s="2" t="str">
        <f>IF(Table1[[#This Row],[Major Group]]&lt;&gt;"","n/a",IF(Table1[[#This Row],[Minor Group]]&lt;&gt;"","n/a",IF(Table1[[#This Row],[Broad Group]]&lt;&gt;"",Table1[[#This Row],[Broad Group]],I868)))</f>
        <v>43-3070</v>
      </c>
      <c r="J8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Occupation]],J868))))</f>
        <v>n/a</v>
      </c>
      <c r="K869" s="2" t="str">
        <f>Table1[[#This Row],[Group Name]]</f>
        <v>Tellers</v>
      </c>
    </row>
    <row r="870" spans="2:11" x14ac:dyDescent="0.25">
      <c r="D870" s="5" t="s">
        <v>1589</v>
      </c>
      <c r="E870" s="5" t="s">
        <v>1588</v>
      </c>
      <c r="F8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70" s="2" t="str">
        <f>IF(Table1[[#This Row],[Type]]="Major",Table1[[#This Row],[Major Group]],G869)</f>
        <v>43-0000</v>
      </c>
      <c r="H870" s="2" t="str">
        <f>IF(Table1[[#This Row],[Major Group]]&lt;&gt;"","n/a",IF(Table1[[#This Row],[Minor Group]]&lt;&gt;"",Table1[[#This Row],[Minor Group]],H869))</f>
        <v>43-3000</v>
      </c>
      <c r="I870" s="2" t="str">
        <f>IF(Table1[[#This Row],[Major Group]]&lt;&gt;"","n/a",IF(Table1[[#This Row],[Minor Group]]&lt;&gt;"","n/a",IF(Table1[[#This Row],[Broad Group]]&lt;&gt;"",Table1[[#This Row],[Broad Group]],I869)))</f>
        <v>43-3070</v>
      </c>
      <c r="J8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Occupation]],J869))))</f>
        <v>43-3071</v>
      </c>
      <c r="K870" s="2" t="str">
        <f>Table1[[#This Row],[Group Name]]</f>
        <v>Tellers</v>
      </c>
    </row>
    <row r="871" spans="2:11" x14ac:dyDescent="0.25">
      <c r="C871" s="1" t="s">
        <v>1590</v>
      </c>
      <c r="E871" s="1" t="s">
        <v>1591</v>
      </c>
      <c r="F8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71" s="2" t="str">
        <f>IF(Table1[[#This Row],[Type]]="Major",Table1[[#This Row],[Major Group]],G870)</f>
        <v>43-0000</v>
      </c>
      <c r="H871" s="2" t="str">
        <f>IF(Table1[[#This Row],[Major Group]]&lt;&gt;"","n/a",IF(Table1[[#This Row],[Minor Group]]&lt;&gt;"",Table1[[#This Row],[Minor Group]],H870))</f>
        <v>43-3000</v>
      </c>
      <c r="I871" s="2" t="str">
        <f>IF(Table1[[#This Row],[Major Group]]&lt;&gt;"","n/a",IF(Table1[[#This Row],[Minor Group]]&lt;&gt;"","n/a",IF(Table1[[#This Row],[Broad Group]]&lt;&gt;"",Table1[[#This Row],[Broad Group]],I870)))</f>
        <v>43-3090</v>
      </c>
      <c r="J8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Occupation]],J870))))</f>
        <v>n/a</v>
      </c>
      <c r="K871" s="2" t="str">
        <f>Table1[[#This Row],[Group Name]]</f>
        <v>Miscellaneous Financial Clerks</v>
      </c>
    </row>
    <row r="872" spans="2:11" x14ac:dyDescent="0.25">
      <c r="D872" s="5" t="s">
        <v>1592</v>
      </c>
      <c r="E872" s="5" t="s">
        <v>1593</v>
      </c>
      <c r="F8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72" s="2" t="str">
        <f>IF(Table1[[#This Row],[Type]]="Major",Table1[[#This Row],[Major Group]],G871)</f>
        <v>43-0000</v>
      </c>
      <c r="H872" s="2" t="str">
        <f>IF(Table1[[#This Row],[Major Group]]&lt;&gt;"","n/a",IF(Table1[[#This Row],[Minor Group]]&lt;&gt;"",Table1[[#This Row],[Minor Group]],H871))</f>
        <v>43-3000</v>
      </c>
      <c r="I872" s="2" t="str">
        <f>IF(Table1[[#This Row],[Major Group]]&lt;&gt;"","n/a",IF(Table1[[#This Row],[Minor Group]]&lt;&gt;"","n/a",IF(Table1[[#This Row],[Broad Group]]&lt;&gt;"",Table1[[#This Row],[Broad Group]],I871)))</f>
        <v>43-3090</v>
      </c>
      <c r="J8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Occupation]],J871))))</f>
        <v>43-3099</v>
      </c>
      <c r="K872" s="2" t="str">
        <f>Table1[[#This Row],[Group Name]]</f>
        <v>Financial Clerks, All Other</v>
      </c>
    </row>
    <row r="873" spans="2:11" x14ac:dyDescent="0.25">
      <c r="B873" s="3" t="s">
        <v>1594</v>
      </c>
      <c r="E873" s="3" t="s">
        <v>1595</v>
      </c>
      <c r="F8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873" s="2" t="str">
        <f>IF(Table1[[#This Row],[Type]]="Major",Table1[[#This Row],[Major Group]],G872)</f>
        <v>43-0000</v>
      </c>
      <c r="H873" s="2" t="str">
        <f>IF(Table1[[#This Row],[Major Group]]&lt;&gt;"","n/a",IF(Table1[[#This Row],[Minor Group]]&lt;&gt;"",Table1[[#This Row],[Minor Group]],H872))</f>
        <v>43-4000</v>
      </c>
      <c r="I873" s="2" t="str">
        <f>IF(Table1[[#This Row],[Major Group]]&lt;&gt;"","n/a",IF(Table1[[#This Row],[Minor Group]]&lt;&gt;"","n/a",IF(Table1[[#This Row],[Broad Group]]&lt;&gt;"",Table1[[#This Row],[Broad Group]],I872)))</f>
        <v>n/a</v>
      </c>
      <c r="J8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Occupation]],J872))))</f>
        <v>n/a</v>
      </c>
      <c r="K873" s="2" t="str">
        <f>Table1[[#This Row],[Group Name]]</f>
        <v>Information and Record Clerks</v>
      </c>
    </row>
    <row r="874" spans="2:11" x14ac:dyDescent="0.25">
      <c r="C874" s="1" t="s">
        <v>1596</v>
      </c>
      <c r="E874" s="1" t="s">
        <v>1597</v>
      </c>
      <c r="F8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74" s="2" t="str">
        <f>IF(Table1[[#This Row],[Type]]="Major",Table1[[#This Row],[Major Group]],G873)</f>
        <v>43-0000</v>
      </c>
      <c r="H874" s="2" t="str">
        <f>IF(Table1[[#This Row],[Major Group]]&lt;&gt;"","n/a",IF(Table1[[#This Row],[Minor Group]]&lt;&gt;"",Table1[[#This Row],[Minor Group]],H873))</f>
        <v>43-4000</v>
      </c>
      <c r="I874" s="2" t="str">
        <f>IF(Table1[[#This Row],[Major Group]]&lt;&gt;"","n/a",IF(Table1[[#This Row],[Minor Group]]&lt;&gt;"","n/a",IF(Table1[[#This Row],[Broad Group]]&lt;&gt;"",Table1[[#This Row],[Broad Group]],I873)))</f>
        <v>43-4010</v>
      </c>
      <c r="J8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Occupation]],J873))))</f>
        <v>n/a</v>
      </c>
      <c r="K874" s="2" t="str">
        <f>Table1[[#This Row],[Group Name]]</f>
        <v>Brokerage Clerks</v>
      </c>
    </row>
    <row r="875" spans="2:11" x14ac:dyDescent="0.25">
      <c r="D875" s="5" t="s">
        <v>1598</v>
      </c>
      <c r="E875" s="5" t="s">
        <v>1597</v>
      </c>
      <c r="F8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75" s="2" t="str">
        <f>IF(Table1[[#This Row],[Type]]="Major",Table1[[#This Row],[Major Group]],G874)</f>
        <v>43-0000</v>
      </c>
      <c r="H875" s="2" t="str">
        <f>IF(Table1[[#This Row],[Major Group]]&lt;&gt;"","n/a",IF(Table1[[#This Row],[Minor Group]]&lt;&gt;"",Table1[[#This Row],[Minor Group]],H874))</f>
        <v>43-4000</v>
      </c>
      <c r="I875" s="2" t="str">
        <f>IF(Table1[[#This Row],[Major Group]]&lt;&gt;"","n/a",IF(Table1[[#This Row],[Minor Group]]&lt;&gt;"","n/a",IF(Table1[[#This Row],[Broad Group]]&lt;&gt;"",Table1[[#This Row],[Broad Group]],I874)))</f>
        <v>43-4010</v>
      </c>
      <c r="J8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Occupation]],J874))))</f>
        <v>43-4011</v>
      </c>
      <c r="K875" s="2" t="str">
        <f>Table1[[#This Row],[Group Name]]</f>
        <v>Brokerage Clerks</v>
      </c>
    </row>
    <row r="876" spans="2:11" x14ac:dyDescent="0.25">
      <c r="C876" s="1" t="s">
        <v>1599</v>
      </c>
      <c r="E876" s="1" t="s">
        <v>1600</v>
      </c>
      <c r="F8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76" s="2" t="str">
        <f>IF(Table1[[#This Row],[Type]]="Major",Table1[[#This Row],[Major Group]],G875)</f>
        <v>43-0000</v>
      </c>
      <c r="H876" s="2" t="str">
        <f>IF(Table1[[#This Row],[Major Group]]&lt;&gt;"","n/a",IF(Table1[[#This Row],[Minor Group]]&lt;&gt;"",Table1[[#This Row],[Minor Group]],H875))</f>
        <v>43-4000</v>
      </c>
      <c r="I876" s="2" t="str">
        <f>IF(Table1[[#This Row],[Major Group]]&lt;&gt;"","n/a",IF(Table1[[#This Row],[Minor Group]]&lt;&gt;"","n/a",IF(Table1[[#This Row],[Broad Group]]&lt;&gt;"",Table1[[#This Row],[Broad Group]],I875)))</f>
        <v>43-4020</v>
      </c>
      <c r="J8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Occupation]],J875))))</f>
        <v>n/a</v>
      </c>
      <c r="K876" s="2" t="str">
        <f>Table1[[#This Row],[Group Name]]</f>
        <v>Correspondence Clerks</v>
      </c>
    </row>
    <row r="877" spans="2:11" x14ac:dyDescent="0.25">
      <c r="D877" s="5" t="s">
        <v>1601</v>
      </c>
      <c r="E877" s="5" t="s">
        <v>1600</v>
      </c>
      <c r="F8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77" s="2" t="str">
        <f>IF(Table1[[#This Row],[Type]]="Major",Table1[[#This Row],[Major Group]],G876)</f>
        <v>43-0000</v>
      </c>
      <c r="H877" s="2" t="str">
        <f>IF(Table1[[#This Row],[Major Group]]&lt;&gt;"","n/a",IF(Table1[[#This Row],[Minor Group]]&lt;&gt;"",Table1[[#This Row],[Minor Group]],H876))</f>
        <v>43-4000</v>
      </c>
      <c r="I877" s="2" t="str">
        <f>IF(Table1[[#This Row],[Major Group]]&lt;&gt;"","n/a",IF(Table1[[#This Row],[Minor Group]]&lt;&gt;"","n/a",IF(Table1[[#This Row],[Broad Group]]&lt;&gt;"",Table1[[#This Row],[Broad Group]],I876)))</f>
        <v>43-4020</v>
      </c>
      <c r="J8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Occupation]],J876))))</f>
        <v>43-4021</v>
      </c>
      <c r="K877" s="2" t="str">
        <f>Table1[[#This Row],[Group Name]]</f>
        <v>Correspondence Clerks</v>
      </c>
    </row>
    <row r="878" spans="2:11" ht="30" x14ac:dyDescent="0.25">
      <c r="C878" s="1" t="s">
        <v>1602</v>
      </c>
      <c r="E878" s="1" t="s">
        <v>1603</v>
      </c>
      <c r="F8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78" s="2" t="str">
        <f>IF(Table1[[#This Row],[Type]]="Major",Table1[[#This Row],[Major Group]],G877)</f>
        <v>43-0000</v>
      </c>
      <c r="H878" s="2" t="str">
        <f>IF(Table1[[#This Row],[Major Group]]&lt;&gt;"","n/a",IF(Table1[[#This Row],[Minor Group]]&lt;&gt;"",Table1[[#This Row],[Minor Group]],H877))</f>
        <v>43-4000</v>
      </c>
      <c r="I878" s="2" t="str">
        <f>IF(Table1[[#This Row],[Major Group]]&lt;&gt;"","n/a",IF(Table1[[#This Row],[Minor Group]]&lt;&gt;"","n/a",IF(Table1[[#This Row],[Broad Group]]&lt;&gt;"",Table1[[#This Row],[Broad Group]],I877)))</f>
        <v>43-4030</v>
      </c>
      <c r="J8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Occupation]],J877))))</f>
        <v>n/a</v>
      </c>
      <c r="K878" s="2" t="str">
        <f>Table1[[#This Row],[Group Name]]</f>
        <v>Court, Municipal, and License Clerks</v>
      </c>
    </row>
    <row r="879" spans="2:11" x14ac:dyDescent="0.25">
      <c r="D879" s="5" t="s">
        <v>1604</v>
      </c>
      <c r="E879" s="5" t="s">
        <v>1603</v>
      </c>
      <c r="F8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79" s="2" t="str">
        <f>IF(Table1[[#This Row],[Type]]="Major",Table1[[#This Row],[Major Group]],G878)</f>
        <v>43-0000</v>
      </c>
      <c r="H879" s="2" t="str">
        <f>IF(Table1[[#This Row],[Major Group]]&lt;&gt;"","n/a",IF(Table1[[#This Row],[Minor Group]]&lt;&gt;"",Table1[[#This Row],[Minor Group]],H878))</f>
        <v>43-4000</v>
      </c>
      <c r="I879" s="2" t="str">
        <f>IF(Table1[[#This Row],[Major Group]]&lt;&gt;"","n/a",IF(Table1[[#This Row],[Minor Group]]&lt;&gt;"","n/a",IF(Table1[[#This Row],[Broad Group]]&lt;&gt;"",Table1[[#This Row],[Broad Group]],I878)))</f>
        <v>43-4030</v>
      </c>
      <c r="J8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Occupation]],J878))))</f>
        <v>43-4031</v>
      </c>
      <c r="K879" s="2" t="str">
        <f>Table1[[#This Row],[Group Name]]</f>
        <v>Court, Municipal, and License Clerks</v>
      </c>
    </row>
    <row r="880" spans="2:11" ht="30" x14ac:dyDescent="0.25">
      <c r="C880" s="1" t="s">
        <v>1605</v>
      </c>
      <c r="E880" s="1" t="s">
        <v>1606</v>
      </c>
      <c r="F8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80" s="2" t="str">
        <f>IF(Table1[[#This Row],[Type]]="Major",Table1[[#This Row],[Major Group]],G879)</f>
        <v>43-0000</v>
      </c>
      <c r="H880" s="2" t="str">
        <f>IF(Table1[[#This Row],[Major Group]]&lt;&gt;"","n/a",IF(Table1[[#This Row],[Minor Group]]&lt;&gt;"",Table1[[#This Row],[Minor Group]],H879))</f>
        <v>43-4000</v>
      </c>
      <c r="I880" s="2" t="str">
        <f>IF(Table1[[#This Row],[Major Group]]&lt;&gt;"","n/a",IF(Table1[[#This Row],[Minor Group]]&lt;&gt;"","n/a",IF(Table1[[#This Row],[Broad Group]]&lt;&gt;"",Table1[[#This Row],[Broad Group]],I879)))</f>
        <v>43-4040</v>
      </c>
      <c r="J8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Occupation]],J879))))</f>
        <v>n/a</v>
      </c>
      <c r="K880" s="2" t="str">
        <f>Table1[[#This Row],[Group Name]]</f>
        <v>Credit Authorizers, Checkers, and Clerks</v>
      </c>
    </row>
    <row r="881" spans="3:11" ht="25.5" x14ac:dyDescent="0.25">
      <c r="D881" s="5" t="s">
        <v>1607</v>
      </c>
      <c r="E881" s="5" t="s">
        <v>1606</v>
      </c>
      <c r="F8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81" s="2" t="str">
        <f>IF(Table1[[#This Row],[Type]]="Major",Table1[[#This Row],[Major Group]],G880)</f>
        <v>43-0000</v>
      </c>
      <c r="H881" s="2" t="str">
        <f>IF(Table1[[#This Row],[Major Group]]&lt;&gt;"","n/a",IF(Table1[[#This Row],[Minor Group]]&lt;&gt;"",Table1[[#This Row],[Minor Group]],H880))</f>
        <v>43-4000</v>
      </c>
      <c r="I881" s="2" t="str">
        <f>IF(Table1[[#This Row],[Major Group]]&lt;&gt;"","n/a",IF(Table1[[#This Row],[Minor Group]]&lt;&gt;"","n/a",IF(Table1[[#This Row],[Broad Group]]&lt;&gt;"",Table1[[#This Row],[Broad Group]],I880)))</f>
        <v>43-4040</v>
      </c>
      <c r="J8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Occupation]],J880))))</f>
        <v>43-4041</v>
      </c>
      <c r="K881" s="2" t="str">
        <f>Table1[[#This Row],[Group Name]]</f>
        <v>Credit Authorizers, Checkers, and Clerks</v>
      </c>
    </row>
    <row r="882" spans="3:11" x14ac:dyDescent="0.25">
      <c r="C882" s="1" t="s">
        <v>1608</v>
      </c>
      <c r="E882" s="1" t="s">
        <v>1609</v>
      </c>
      <c r="F8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82" s="2" t="str">
        <f>IF(Table1[[#This Row],[Type]]="Major",Table1[[#This Row],[Major Group]],G881)</f>
        <v>43-0000</v>
      </c>
      <c r="H882" s="2" t="str">
        <f>IF(Table1[[#This Row],[Major Group]]&lt;&gt;"","n/a",IF(Table1[[#This Row],[Minor Group]]&lt;&gt;"",Table1[[#This Row],[Minor Group]],H881))</f>
        <v>43-4000</v>
      </c>
      <c r="I882" s="2" t="str">
        <f>IF(Table1[[#This Row],[Major Group]]&lt;&gt;"","n/a",IF(Table1[[#This Row],[Minor Group]]&lt;&gt;"","n/a",IF(Table1[[#This Row],[Broad Group]]&lt;&gt;"",Table1[[#This Row],[Broad Group]],I881)))</f>
        <v>43-4050</v>
      </c>
      <c r="J8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Occupation]],J881))))</f>
        <v>n/a</v>
      </c>
      <c r="K882" s="2" t="str">
        <f>Table1[[#This Row],[Group Name]]</f>
        <v>Customer Service Representatives</v>
      </c>
    </row>
    <row r="883" spans="3:11" x14ac:dyDescent="0.25">
      <c r="D883" s="5" t="s">
        <v>1610</v>
      </c>
      <c r="E883" s="5" t="s">
        <v>1609</v>
      </c>
      <c r="F8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83" s="2" t="str">
        <f>IF(Table1[[#This Row],[Type]]="Major",Table1[[#This Row],[Major Group]],G882)</f>
        <v>43-0000</v>
      </c>
      <c r="H883" s="2" t="str">
        <f>IF(Table1[[#This Row],[Major Group]]&lt;&gt;"","n/a",IF(Table1[[#This Row],[Minor Group]]&lt;&gt;"",Table1[[#This Row],[Minor Group]],H882))</f>
        <v>43-4000</v>
      </c>
      <c r="I883" s="2" t="str">
        <f>IF(Table1[[#This Row],[Major Group]]&lt;&gt;"","n/a",IF(Table1[[#This Row],[Minor Group]]&lt;&gt;"","n/a",IF(Table1[[#This Row],[Broad Group]]&lt;&gt;"",Table1[[#This Row],[Broad Group]],I882)))</f>
        <v>43-4050</v>
      </c>
      <c r="J8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Occupation]],J882))))</f>
        <v>43-4051</v>
      </c>
      <c r="K883" s="2" t="str">
        <f>Table1[[#This Row],[Group Name]]</f>
        <v>Customer Service Representatives</v>
      </c>
    </row>
    <row r="884" spans="3:11" ht="30" x14ac:dyDescent="0.25">
      <c r="C884" s="1" t="s">
        <v>1611</v>
      </c>
      <c r="E884" s="1" t="s">
        <v>1612</v>
      </c>
      <c r="F8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84" s="2" t="str">
        <f>IF(Table1[[#This Row],[Type]]="Major",Table1[[#This Row],[Major Group]],G883)</f>
        <v>43-0000</v>
      </c>
      <c r="H884" s="2" t="str">
        <f>IF(Table1[[#This Row],[Major Group]]&lt;&gt;"","n/a",IF(Table1[[#This Row],[Minor Group]]&lt;&gt;"",Table1[[#This Row],[Minor Group]],H883))</f>
        <v>43-4000</v>
      </c>
      <c r="I884" s="2" t="str">
        <f>IF(Table1[[#This Row],[Major Group]]&lt;&gt;"","n/a",IF(Table1[[#This Row],[Minor Group]]&lt;&gt;"","n/a",IF(Table1[[#This Row],[Broad Group]]&lt;&gt;"",Table1[[#This Row],[Broad Group]],I883)))</f>
        <v>43-4060</v>
      </c>
      <c r="J8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Occupation]],J883))))</f>
        <v>n/a</v>
      </c>
      <c r="K884" s="2" t="str">
        <f>Table1[[#This Row],[Group Name]]</f>
        <v>Eligibility Interviewers, Government Programs</v>
      </c>
    </row>
    <row r="885" spans="3:11" ht="25.5" x14ac:dyDescent="0.25">
      <c r="D885" s="5" t="s">
        <v>1613</v>
      </c>
      <c r="E885" s="5" t="s">
        <v>1612</v>
      </c>
      <c r="F8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85" s="2" t="str">
        <f>IF(Table1[[#This Row],[Type]]="Major",Table1[[#This Row],[Major Group]],G884)</f>
        <v>43-0000</v>
      </c>
      <c r="H885" s="2" t="str">
        <f>IF(Table1[[#This Row],[Major Group]]&lt;&gt;"","n/a",IF(Table1[[#This Row],[Minor Group]]&lt;&gt;"",Table1[[#This Row],[Minor Group]],H884))</f>
        <v>43-4000</v>
      </c>
      <c r="I885" s="2" t="str">
        <f>IF(Table1[[#This Row],[Major Group]]&lt;&gt;"","n/a",IF(Table1[[#This Row],[Minor Group]]&lt;&gt;"","n/a",IF(Table1[[#This Row],[Broad Group]]&lt;&gt;"",Table1[[#This Row],[Broad Group]],I884)))</f>
        <v>43-4060</v>
      </c>
      <c r="J8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Occupation]],J884))))</f>
        <v>43-4061</v>
      </c>
      <c r="K885" s="2" t="str">
        <f>Table1[[#This Row],[Group Name]]</f>
        <v>Eligibility Interviewers, Government Programs</v>
      </c>
    </row>
    <row r="886" spans="3:11" x14ac:dyDescent="0.25">
      <c r="C886" s="1" t="s">
        <v>1614</v>
      </c>
      <c r="E886" s="1" t="s">
        <v>1615</v>
      </c>
      <c r="F8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86" s="2" t="str">
        <f>IF(Table1[[#This Row],[Type]]="Major",Table1[[#This Row],[Major Group]],G885)</f>
        <v>43-0000</v>
      </c>
      <c r="H886" s="2" t="str">
        <f>IF(Table1[[#This Row],[Major Group]]&lt;&gt;"","n/a",IF(Table1[[#This Row],[Minor Group]]&lt;&gt;"",Table1[[#This Row],[Minor Group]],H885))</f>
        <v>43-4000</v>
      </c>
      <c r="I886" s="2" t="str">
        <f>IF(Table1[[#This Row],[Major Group]]&lt;&gt;"","n/a",IF(Table1[[#This Row],[Minor Group]]&lt;&gt;"","n/a",IF(Table1[[#This Row],[Broad Group]]&lt;&gt;"",Table1[[#This Row],[Broad Group]],I885)))</f>
        <v>43-4070</v>
      </c>
      <c r="J8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Occupation]],J885))))</f>
        <v>n/a</v>
      </c>
      <c r="K886" s="2" t="str">
        <f>Table1[[#This Row],[Group Name]]</f>
        <v>File Clerks</v>
      </c>
    </row>
    <row r="887" spans="3:11" x14ac:dyDescent="0.25">
      <c r="D887" s="5" t="s">
        <v>1616</v>
      </c>
      <c r="E887" s="5" t="s">
        <v>1615</v>
      </c>
      <c r="F8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87" s="2" t="str">
        <f>IF(Table1[[#This Row],[Type]]="Major",Table1[[#This Row],[Major Group]],G886)</f>
        <v>43-0000</v>
      </c>
      <c r="H887" s="2" t="str">
        <f>IF(Table1[[#This Row],[Major Group]]&lt;&gt;"","n/a",IF(Table1[[#This Row],[Minor Group]]&lt;&gt;"",Table1[[#This Row],[Minor Group]],H886))</f>
        <v>43-4000</v>
      </c>
      <c r="I887" s="2" t="str">
        <f>IF(Table1[[#This Row],[Major Group]]&lt;&gt;"","n/a",IF(Table1[[#This Row],[Minor Group]]&lt;&gt;"","n/a",IF(Table1[[#This Row],[Broad Group]]&lt;&gt;"",Table1[[#This Row],[Broad Group]],I886)))</f>
        <v>43-4070</v>
      </c>
      <c r="J8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Occupation]],J886))))</f>
        <v>43-4071</v>
      </c>
      <c r="K887" s="2" t="str">
        <f>Table1[[#This Row],[Group Name]]</f>
        <v>File Clerks</v>
      </c>
    </row>
    <row r="888" spans="3:11" ht="30" x14ac:dyDescent="0.25">
      <c r="C888" s="1" t="s">
        <v>1617</v>
      </c>
      <c r="E888" s="1" t="s">
        <v>1618</v>
      </c>
      <c r="F8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88" s="2" t="str">
        <f>IF(Table1[[#This Row],[Type]]="Major",Table1[[#This Row],[Major Group]],G887)</f>
        <v>43-0000</v>
      </c>
      <c r="H888" s="2" t="str">
        <f>IF(Table1[[#This Row],[Major Group]]&lt;&gt;"","n/a",IF(Table1[[#This Row],[Minor Group]]&lt;&gt;"",Table1[[#This Row],[Minor Group]],H887))</f>
        <v>43-4000</v>
      </c>
      <c r="I888" s="2" t="str">
        <f>IF(Table1[[#This Row],[Major Group]]&lt;&gt;"","n/a",IF(Table1[[#This Row],[Minor Group]]&lt;&gt;"","n/a",IF(Table1[[#This Row],[Broad Group]]&lt;&gt;"",Table1[[#This Row],[Broad Group]],I887)))</f>
        <v>43-4080</v>
      </c>
      <c r="J8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Occupation]],J887))))</f>
        <v>n/a</v>
      </c>
      <c r="K888" s="2" t="str">
        <f>Table1[[#This Row],[Group Name]]</f>
        <v>Hotel, Motel, and Resort Desk Clerks</v>
      </c>
    </row>
    <row r="889" spans="3:11" x14ac:dyDescent="0.25">
      <c r="D889" s="5" t="s">
        <v>1619</v>
      </c>
      <c r="E889" s="5" t="s">
        <v>1618</v>
      </c>
      <c r="F8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89" s="2" t="str">
        <f>IF(Table1[[#This Row],[Type]]="Major",Table1[[#This Row],[Major Group]],G888)</f>
        <v>43-0000</v>
      </c>
      <c r="H889" s="2" t="str">
        <f>IF(Table1[[#This Row],[Major Group]]&lt;&gt;"","n/a",IF(Table1[[#This Row],[Minor Group]]&lt;&gt;"",Table1[[#This Row],[Minor Group]],H888))</f>
        <v>43-4000</v>
      </c>
      <c r="I889" s="2" t="str">
        <f>IF(Table1[[#This Row],[Major Group]]&lt;&gt;"","n/a",IF(Table1[[#This Row],[Minor Group]]&lt;&gt;"","n/a",IF(Table1[[#This Row],[Broad Group]]&lt;&gt;"",Table1[[#This Row],[Broad Group]],I888)))</f>
        <v>43-4080</v>
      </c>
      <c r="J8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Occupation]],J888))))</f>
        <v>43-4081</v>
      </c>
      <c r="K889" s="2" t="str">
        <f>Table1[[#This Row],[Group Name]]</f>
        <v>Hotel, Motel, and Resort Desk Clerks</v>
      </c>
    </row>
    <row r="890" spans="3:11" ht="30" x14ac:dyDescent="0.25">
      <c r="C890" s="1" t="s">
        <v>1620</v>
      </c>
      <c r="E890" s="1" t="s">
        <v>1621</v>
      </c>
      <c r="F8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90" s="2" t="str">
        <f>IF(Table1[[#This Row],[Type]]="Major",Table1[[#This Row],[Major Group]],G889)</f>
        <v>43-0000</v>
      </c>
      <c r="H890" s="2" t="str">
        <f>IF(Table1[[#This Row],[Major Group]]&lt;&gt;"","n/a",IF(Table1[[#This Row],[Minor Group]]&lt;&gt;"",Table1[[#This Row],[Minor Group]],H889))</f>
        <v>43-4000</v>
      </c>
      <c r="I890" s="2" t="str">
        <f>IF(Table1[[#This Row],[Major Group]]&lt;&gt;"","n/a",IF(Table1[[#This Row],[Minor Group]]&lt;&gt;"","n/a",IF(Table1[[#This Row],[Broad Group]]&lt;&gt;"",Table1[[#This Row],[Broad Group]],I889)))</f>
        <v>43-4110</v>
      </c>
      <c r="J8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Occupation]],J889))))</f>
        <v>n/a</v>
      </c>
      <c r="K890" s="2" t="str">
        <f>Table1[[#This Row],[Group Name]]</f>
        <v>Interviewers, Except Eligibility and Loan</v>
      </c>
    </row>
    <row r="891" spans="3:11" ht="25.5" x14ac:dyDescent="0.25">
      <c r="D891" s="5" t="s">
        <v>1622</v>
      </c>
      <c r="E891" s="5" t="s">
        <v>1621</v>
      </c>
      <c r="F8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91" s="2" t="str">
        <f>IF(Table1[[#This Row],[Type]]="Major",Table1[[#This Row],[Major Group]],G890)</f>
        <v>43-0000</v>
      </c>
      <c r="H891" s="2" t="str">
        <f>IF(Table1[[#This Row],[Major Group]]&lt;&gt;"","n/a",IF(Table1[[#This Row],[Minor Group]]&lt;&gt;"",Table1[[#This Row],[Minor Group]],H890))</f>
        <v>43-4000</v>
      </c>
      <c r="I891" s="2" t="str">
        <f>IF(Table1[[#This Row],[Major Group]]&lt;&gt;"","n/a",IF(Table1[[#This Row],[Minor Group]]&lt;&gt;"","n/a",IF(Table1[[#This Row],[Broad Group]]&lt;&gt;"",Table1[[#This Row],[Broad Group]],I890)))</f>
        <v>43-4110</v>
      </c>
      <c r="J8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Occupation]],J890))))</f>
        <v>43-4111</v>
      </c>
      <c r="K891" s="2" t="str">
        <f>Table1[[#This Row],[Group Name]]</f>
        <v>Interviewers, Except Eligibility and Loan</v>
      </c>
    </row>
    <row r="892" spans="3:11" x14ac:dyDescent="0.25">
      <c r="C892" s="1" t="s">
        <v>1623</v>
      </c>
      <c r="E892" s="1" t="s">
        <v>1624</v>
      </c>
      <c r="F8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92" s="2" t="str">
        <f>IF(Table1[[#This Row],[Type]]="Major",Table1[[#This Row],[Major Group]],G891)</f>
        <v>43-0000</v>
      </c>
      <c r="H892" s="2" t="str">
        <f>IF(Table1[[#This Row],[Major Group]]&lt;&gt;"","n/a",IF(Table1[[#This Row],[Minor Group]]&lt;&gt;"",Table1[[#This Row],[Minor Group]],H891))</f>
        <v>43-4000</v>
      </c>
      <c r="I892" s="2" t="str">
        <f>IF(Table1[[#This Row],[Major Group]]&lt;&gt;"","n/a",IF(Table1[[#This Row],[Minor Group]]&lt;&gt;"","n/a",IF(Table1[[#This Row],[Broad Group]]&lt;&gt;"",Table1[[#This Row],[Broad Group]],I891)))</f>
        <v>43-4120</v>
      </c>
      <c r="J8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Occupation]],J891))))</f>
        <v>n/a</v>
      </c>
      <c r="K892" s="2" t="str">
        <f>Table1[[#This Row],[Group Name]]</f>
        <v>Library Assistants, Clerical</v>
      </c>
    </row>
    <row r="893" spans="3:11" x14ac:dyDescent="0.25">
      <c r="D893" s="5" t="s">
        <v>1625</v>
      </c>
      <c r="E893" s="5" t="s">
        <v>1624</v>
      </c>
      <c r="F8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93" s="2" t="str">
        <f>IF(Table1[[#This Row],[Type]]="Major",Table1[[#This Row],[Major Group]],G892)</f>
        <v>43-0000</v>
      </c>
      <c r="H893" s="2" t="str">
        <f>IF(Table1[[#This Row],[Major Group]]&lt;&gt;"","n/a",IF(Table1[[#This Row],[Minor Group]]&lt;&gt;"",Table1[[#This Row],[Minor Group]],H892))</f>
        <v>43-4000</v>
      </c>
      <c r="I893" s="2" t="str">
        <f>IF(Table1[[#This Row],[Major Group]]&lt;&gt;"","n/a",IF(Table1[[#This Row],[Minor Group]]&lt;&gt;"","n/a",IF(Table1[[#This Row],[Broad Group]]&lt;&gt;"",Table1[[#This Row],[Broad Group]],I892)))</f>
        <v>43-4120</v>
      </c>
      <c r="J8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Occupation]],J892))))</f>
        <v>43-4121</v>
      </c>
      <c r="K893" s="2" t="str">
        <f>Table1[[#This Row],[Group Name]]</f>
        <v>Library Assistants, Clerical</v>
      </c>
    </row>
    <row r="894" spans="3:11" x14ac:dyDescent="0.25">
      <c r="C894" s="1" t="s">
        <v>1626</v>
      </c>
      <c r="E894" s="1" t="s">
        <v>1627</v>
      </c>
      <c r="F8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94" s="2" t="str">
        <f>IF(Table1[[#This Row],[Type]]="Major",Table1[[#This Row],[Major Group]],G893)</f>
        <v>43-0000</v>
      </c>
      <c r="H894" s="2" t="str">
        <f>IF(Table1[[#This Row],[Major Group]]&lt;&gt;"","n/a",IF(Table1[[#This Row],[Minor Group]]&lt;&gt;"",Table1[[#This Row],[Minor Group]],H893))</f>
        <v>43-4000</v>
      </c>
      <c r="I894" s="2" t="str">
        <f>IF(Table1[[#This Row],[Major Group]]&lt;&gt;"","n/a",IF(Table1[[#This Row],[Minor Group]]&lt;&gt;"","n/a",IF(Table1[[#This Row],[Broad Group]]&lt;&gt;"",Table1[[#This Row],[Broad Group]],I893)))</f>
        <v>43-4130</v>
      </c>
      <c r="J8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Occupation]],J893))))</f>
        <v>n/a</v>
      </c>
      <c r="K894" s="2" t="str">
        <f>Table1[[#This Row],[Group Name]]</f>
        <v>Loan Interviewers and Clerks</v>
      </c>
    </row>
    <row r="895" spans="3:11" x14ac:dyDescent="0.25">
      <c r="D895" s="5" t="s">
        <v>1628</v>
      </c>
      <c r="E895" s="5" t="s">
        <v>1627</v>
      </c>
      <c r="F8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95" s="2" t="str">
        <f>IF(Table1[[#This Row],[Type]]="Major",Table1[[#This Row],[Major Group]],G894)</f>
        <v>43-0000</v>
      </c>
      <c r="H895" s="2" t="str">
        <f>IF(Table1[[#This Row],[Major Group]]&lt;&gt;"","n/a",IF(Table1[[#This Row],[Minor Group]]&lt;&gt;"",Table1[[#This Row],[Minor Group]],H894))</f>
        <v>43-4000</v>
      </c>
      <c r="I895" s="2" t="str">
        <f>IF(Table1[[#This Row],[Major Group]]&lt;&gt;"","n/a",IF(Table1[[#This Row],[Minor Group]]&lt;&gt;"","n/a",IF(Table1[[#This Row],[Broad Group]]&lt;&gt;"",Table1[[#This Row],[Broad Group]],I894)))</f>
        <v>43-4130</v>
      </c>
      <c r="J8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Occupation]],J894))))</f>
        <v>43-4131</v>
      </c>
      <c r="K895" s="2" t="str">
        <f>Table1[[#This Row],[Group Name]]</f>
        <v>Loan Interviewers and Clerks</v>
      </c>
    </row>
    <row r="896" spans="3:11" x14ac:dyDescent="0.25">
      <c r="C896" s="1" t="s">
        <v>1629</v>
      </c>
      <c r="E896" s="1" t="s">
        <v>1630</v>
      </c>
      <c r="F8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96" s="2" t="str">
        <f>IF(Table1[[#This Row],[Type]]="Major",Table1[[#This Row],[Major Group]],G895)</f>
        <v>43-0000</v>
      </c>
      <c r="H896" s="2" t="str">
        <f>IF(Table1[[#This Row],[Major Group]]&lt;&gt;"","n/a",IF(Table1[[#This Row],[Minor Group]]&lt;&gt;"",Table1[[#This Row],[Minor Group]],H895))</f>
        <v>43-4000</v>
      </c>
      <c r="I896" s="2" t="str">
        <f>IF(Table1[[#This Row],[Major Group]]&lt;&gt;"","n/a",IF(Table1[[#This Row],[Minor Group]]&lt;&gt;"","n/a",IF(Table1[[#This Row],[Broad Group]]&lt;&gt;"",Table1[[#This Row],[Broad Group]],I895)))</f>
        <v>43-4140</v>
      </c>
      <c r="J8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Occupation]],J895))))</f>
        <v>n/a</v>
      </c>
      <c r="K896" s="2" t="str">
        <f>Table1[[#This Row],[Group Name]]</f>
        <v>New Accounts Clerks</v>
      </c>
    </row>
    <row r="897" spans="2:11" x14ac:dyDescent="0.25">
      <c r="D897" s="5" t="s">
        <v>1631</v>
      </c>
      <c r="E897" s="5" t="s">
        <v>1630</v>
      </c>
      <c r="F8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97" s="2" t="str">
        <f>IF(Table1[[#This Row],[Type]]="Major",Table1[[#This Row],[Major Group]],G896)</f>
        <v>43-0000</v>
      </c>
      <c r="H897" s="2" t="str">
        <f>IF(Table1[[#This Row],[Major Group]]&lt;&gt;"","n/a",IF(Table1[[#This Row],[Minor Group]]&lt;&gt;"",Table1[[#This Row],[Minor Group]],H896))</f>
        <v>43-4000</v>
      </c>
      <c r="I897" s="2" t="str">
        <f>IF(Table1[[#This Row],[Major Group]]&lt;&gt;"","n/a",IF(Table1[[#This Row],[Minor Group]]&lt;&gt;"","n/a",IF(Table1[[#This Row],[Broad Group]]&lt;&gt;"",Table1[[#This Row],[Broad Group]],I896)))</f>
        <v>43-4140</v>
      </c>
      <c r="J8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Occupation]],J896))))</f>
        <v>43-4141</v>
      </c>
      <c r="K897" s="2" t="str">
        <f>Table1[[#This Row],[Group Name]]</f>
        <v>New Accounts Clerks</v>
      </c>
    </row>
    <row r="898" spans="2:11" x14ac:dyDescent="0.25">
      <c r="C898" s="1" t="s">
        <v>1632</v>
      </c>
      <c r="E898" s="1" t="s">
        <v>1633</v>
      </c>
      <c r="F8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898" s="2" t="str">
        <f>IF(Table1[[#This Row],[Type]]="Major",Table1[[#This Row],[Major Group]],G897)</f>
        <v>43-0000</v>
      </c>
      <c r="H898" s="2" t="str">
        <f>IF(Table1[[#This Row],[Major Group]]&lt;&gt;"","n/a",IF(Table1[[#This Row],[Minor Group]]&lt;&gt;"",Table1[[#This Row],[Minor Group]],H897))</f>
        <v>43-4000</v>
      </c>
      <c r="I898" s="2" t="str">
        <f>IF(Table1[[#This Row],[Major Group]]&lt;&gt;"","n/a",IF(Table1[[#This Row],[Minor Group]]&lt;&gt;"","n/a",IF(Table1[[#This Row],[Broad Group]]&lt;&gt;"",Table1[[#This Row],[Broad Group]],I897)))</f>
        <v>43-4150</v>
      </c>
      <c r="J8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Occupation]],J897))))</f>
        <v>n/a</v>
      </c>
      <c r="K898" s="2" t="str">
        <f>Table1[[#This Row],[Group Name]]</f>
        <v>Order Clerks</v>
      </c>
    </row>
    <row r="899" spans="2:11" x14ac:dyDescent="0.25">
      <c r="D899" s="5" t="s">
        <v>1634</v>
      </c>
      <c r="E899" s="5" t="s">
        <v>1633</v>
      </c>
      <c r="F8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899" s="2" t="str">
        <f>IF(Table1[[#This Row],[Type]]="Major",Table1[[#This Row],[Major Group]],G898)</f>
        <v>43-0000</v>
      </c>
      <c r="H899" s="2" t="str">
        <f>IF(Table1[[#This Row],[Major Group]]&lt;&gt;"","n/a",IF(Table1[[#This Row],[Minor Group]]&lt;&gt;"",Table1[[#This Row],[Minor Group]],H898))</f>
        <v>43-4000</v>
      </c>
      <c r="I899" s="2" t="str">
        <f>IF(Table1[[#This Row],[Major Group]]&lt;&gt;"","n/a",IF(Table1[[#This Row],[Minor Group]]&lt;&gt;"","n/a",IF(Table1[[#This Row],[Broad Group]]&lt;&gt;"",Table1[[#This Row],[Broad Group]],I898)))</f>
        <v>43-4150</v>
      </c>
      <c r="J8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Occupation]],J898))))</f>
        <v>43-4151</v>
      </c>
      <c r="K899" s="2" t="str">
        <f>Table1[[#This Row],[Group Name]]</f>
        <v>Order Clerks</v>
      </c>
    </row>
    <row r="900" spans="2:11" ht="30" x14ac:dyDescent="0.25">
      <c r="C900" s="1" t="s">
        <v>1635</v>
      </c>
      <c r="E900" s="1" t="s">
        <v>1636</v>
      </c>
      <c r="F9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00" s="2" t="str">
        <f>IF(Table1[[#This Row],[Type]]="Major",Table1[[#This Row],[Major Group]],G899)</f>
        <v>43-0000</v>
      </c>
      <c r="H900" s="2" t="str">
        <f>IF(Table1[[#This Row],[Major Group]]&lt;&gt;"","n/a",IF(Table1[[#This Row],[Minor Group]]&lt;&gt;"",Table1[[#This Row],[Minor Group]],H899))</f>
        <v>43-4000</v>
      </c>
      <c r="I900" s="2" t="str">
        <f>IF(Table1[[#This Row],[Major Group]]&lt;&gt;"","n/a",IF(Table1[[#This Row],[Minor Group]]&lt;&gt;"","n/a",IF(Table1[[#This Row],[Broad Group]]&lt;&gt;"",Table1[[#This Row],[Broad Group]],I899)))</f>
        <v>43-4160</v>
      </c>
      <c r="J9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Occupation]],J899))))</f>
        <v>n/a</v>
      </c>
      <c r="K900" s="2" t="str">
        <f>Table1[[#This Row],[Group Name]]</f>
        <v>Human Resources Assistants, Except Payroll and Timekeeping</v>
      </c>
    </row>
    <row r="901" spans="2:11" ht="25.5" x14ac:dyDescent="0.25">
      <c r="D901" s="5" t="s">
        <v>1637</v>
      </c>
      <c r="E901" s="5" t="s">
        <v>1636</v>
      </c>
      <c r="F9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01" s="2" t="str">
        <f>IF(Table1[[#This Row],[Type]]="Major",Table1[[#This Row],[Major Group]],G900)</f>
        <v>43-0000</v>
      </c>
      <c r="H901" s="2" t="str">
        <f>IF(Table1[[#This Row],[Major Group]]&lt;&gt;"","n/a",IF(Table1[[#This Row],[Minor Group]]&lt;&gt;"",Table1[[#This Row],[Minor Group]],H900))</f>
        <v>43-4000</v>
      </c>
      <c r="I901" s="2" t="str">
        <f>IF(Table1[[#This Row],[Major Group]]&lt;&gt;"","n/a",IF(Table1[[#This Row],[Minor Group]]&lt;&gt;"","n/a",IF(Table1[[#This Row],[Broad Group]]&lt;&gt;"",Table1[[#This Row],[Broad Group]],I900)))</f>
        <v>43-4160</v>
      </c>
      <c r="J9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Occupation]],J900))))</f>
        <v>43-4161</v>
      </c>
      <c r="K901" s="2" t="str">
        <f>Table1[[#This Row],[Group Name]]</f>
        <v>Human Resources Assistants, Except Payroll and Timekeeping</v>
      </c>
    </row>
    <row r="902" spans="2:11" ht="30" x14ac:dyDescent="0.25">
      <c r="C902" s="1" t="s">
        <v>1638</v>
      </c>
      <c r="E902" s="1" t="s">
        <v>1639</v>
      </c>
      <c r="F9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02" s="2" t="str">
        <f>IF(Table1[[#This Row],[Type]]="Major",Table1[[#This Row],[Major Group]],G901)</f>
        <v>43-0000</v>
      </c>
      <c r="H902" s="2" t="str">
        <f>IF(Table1[[#This Row],[Major Group]]&lt;&gt;"","n/a",IF(Table1[[#This Row],[Minor Group]]&lt;&gt;"",Table1[[#This Row],[Minor Group]],H901))</f>
        <v>43-4000</v>
      </c>
      <c r="I902" s="2" t="str">
        <f>IF(Table1[[#This Row],[Major Group]]&lt;&gt;"","n/a",IF(Table1[[#This Row],[Minor Group]]&lt;&gt;"","n/a",IF(Table1[[#This Row],[Broad Group]]&lt;&gt;"",Table1[[#This Row],[Broad Group]],I901)))</f>
        <v>43-4170</v>
      </c>
      <c r="J9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Occupation]],J901))))</f>
        <v>n/a</v>
      </c>
      <c r="K902" s="2" t="str">
        <f>Table1[[#This Row],[Group Name]]</f>
        <v>Receptionists and Information Clerks</v>
      </c>
    </row>
    <row r="903" spans="2:11" x14ac:dyDescent="0.25">
      <c r="D903" s="5" t="s">
        <v>1640</v>
      </c>
      <c r="E903" s="5" t="s">
        <v>1639</v>
      </c>
      <c r="F9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03" s="2" t="str">
        <f>IF(Table1[[#This Row],[Type]]="Major",Table1[[#This Row],[Major Group]],G902)</f>
        <v>43-0000</v>
      </c>
      <c r="H903" s="2" t="str">
        <f>IF(Table1[[#This Row],[Major Group]]&lt;&gt;"","n/a",IF(Table1[[#This Row],[Minor Group]]&lt;&gt;"",Table1[[#This Row],[Minor Group]],H902))</f>
        <v>43-4000</v>
      </c>
      <c r="I903" s="2" t="str">
        <f>IF(Table1[[#This Row],[Major Group]]&lt;&gt;"","n/a",IF(Table1[[#This Row],[Minor Group]]&lt;&gt;"","n/a",IF(Table1[[#This Row],[Broad Group]]&lt;&gt;"",Table1[[#This Row],[Broad Group]],I902)))</f>
        <v>43-4170</v>
      </c>
      <c r="J9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Occupation]],J902))))</f>
        <v>43-4171</v>
      </c>
      <c r="K903" s="2" t="str">
        <f>Table1[[#This Row],[Group Name]]</f>
        <v>Receptionists and Information Clerks</v>
      </c>
    </row>
    <row r="904" spans="2:11" ht="30" x14ac:dyDescent="0.25">
      <c r="C904" s="1" t="s">
        <v>1641</v>
      </c>
      <c r="E904" s="1" t="s">
        <v>1642</v>
      </c>
      <c r="F9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04" s="2" t="str">
        <f>IF(Table1[[#This Row],[Type]]="Major",Table1[[#This Row],[Major Group]],G903)</f>
        <v>43-0000</v>
      </c>
      <c r="H904" s="2" t="str">
        <f>IF(Table1[[#This Row],[Major Group]]&lt;&gt;"","n/a",IF(Table1[[#This Row],[Minor Group]]&lt;&gt;"",Table1[[#This Row],[Minor Group]],H903))</f>
        <v>43-4000</v>
      </c>
      <c r="I904" s="2" t="str">
        <f>IF(Table1[[#This Row],[Major Group]]&lt;&gt;"","n/a",IF(Table1[[#This Row],[Minor Group]]&lt;&gt;"","n/a",IF(Table1[[#This Row],[Broad Group]]&lt;&gt;"",Table1[[#This Row],[Broad Group]],I903)))</f>
        <v>43-4180</v>
      </c>
      <c r="J9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Occupation]],J903))))</f>
        <v>n/a</v>
      </c>
      <c r="K904" s="2" t="str">
        <f>Table1[[#This Row],[Group Name]]</f>
        <v>Reservation and Transportation Ticket Agents and Travel Clerks</v>
      </c>
    </row>
    <row r="905" spans="2:11" ht="25.5" x14ac:dyDescent="0.25">
      <c r="D905" s="5" t="s">
        <v>1643</v>
      </c>
      <c r="E905" s="5" t="s">
        <v>1642</v>
      </c>
      <c r="F9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05" s="2" t="str">
        <f>IF(Table1[[#This Row],[Type]]="Major",Table1[[#This Row],[Major Group]],G904)</f>
        <v>43-0000</v>
      </c>
      <c r="H905" s="2" t="str">
        <f>IF(Table1[[#This Row],[Major Group]]&lt;&gt;"","n/a",IF(Table1[[#This Row],[Minor Group]]&lt;&gt;"",Table1[[#This Row],[Minor Group]],H904))</f>
        <v>43-4000</v>
      </c>
      <c r="I905" s="2" t="str">
        <f>IF(Table1[[#This Row],[Major Group]]&lt;&gt;"","n/a",IF(Table1[[#This Row],[Minor Group]]&lt;&gt;"","n/a",IF(Table1[[#This Row],[Broad Group]]&lt;&gt;"",Table1[[#This Row],[Broad Group]],I904)))</f>
        <v>43-4180</v>
      </c>
      <c r="J9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Occupation]],J904))))</f>
        <v>43-4181</v>
      </c>
      <c r="K905" s="2" t="str">
        <f>Table1[[#This Row],[Group Name]]</f>
        <v>Reservation and Transportation Ticket Agents and Travel Clerks</v>
      </c>
    </row>
    <row r="906" spans="2:11" ht="30" x14ac:dyDescent="0.25">
      <c r="C906" s="1" t="s">
        <v>1644</v>
      </c>
      <c r="E906" s="1" t="s">
        <v>1645</v>
      </c>
      <c r="F9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06" s="2" t="str">
        <f>IF(Table1[[#This Row],[Type]]="Major",Table1[[#This Row],[Major Group]],G905)</f>
        <v>43-0000</v>
      </c>
      <c r="H906" s="2" t="str">
        <f>IF(Table1[[#This Row],[Major Group]]&lt;&gt;"","n/a",IF(Table1[[#This Row],[Minor Group]]&lt;&gt;"",Table1[[#This Row],[Minor Group]],H905))</f>
        <v>43-4000</v>
      </c>
      <c r="I906" s="2" t="str">
        <f>IF(Table1[[#This Row],[Major Group]]&lt;&gt;"","n/a",IF(Table1[[#This Row],[Minor Group]]&lt;&gt;"","n/a",IF(Table1[[#This Row],[Broad Group]]&lt;&gt;"",Table1[[#This Row],[Broad Group]],I905)))</f>
        <v>43-4190</v>
      </c>
      <c r="J9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Occupation]],J905))))</f>
        <v>n/a</v>
      </c>
      <c r="K906" s="2" t="str">
        <f>Table1[[#This Row],[Group Name]]</f>
        <v>Miscellaneous Information and Record Clerks</v>
      </c>
    </row>
    <row r="907" spans="2:11" ht="25.5" x14ac:dyDescent="0.25">
      <c r="D907" s="5" t="s">
        <v>1646</v>
      </c>
      <c r="E907" s="5" t="s">
        <v>1647</v>
      </c>
      <c r="F9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07" s="2" t="str">
        <f>IF(Table1[[#This Row],[Type]]="Major",Table1[[#This Row],[Major Group]],G906)</f>
        <v>43-0000</v>
      </c>
      <c r="H907" s="2" t="str">
        <f>IF(Table1[[#This Row],[Major Group]]&lt;&gt;"","n/a",IF(Table1[[#This Row],[Minor Group]]&lt;&gt;"",Table1[[#This Row],[Minor Group]],H906))</f>
        <v>43-4000</v>
      </c>
      <c r="I907" s="2" t="str">
        <f>IF(Table1[[#This Row],[Major Group]]&lt;&gt;"","n/a",IF(Table1[[#This Row],[Minor Group]]&lt;&gt;"","n/a",IF(Table1[[#This Row],[Broad Group]]&lt;&gt;"",Table1[[#This Row],[Broad Group]],I906)))</f>
        <v>43-4190</v>
      </c>
      <c r="J9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Occupation]],J906))))</f>
        <v>43-4199</v>
      </c>
      <c r="K907" s="2" t="str">
        <f>Table1[[#This Row],[Group Name]]</f>
        <v>Information and Record Clerks, All Other</v>
      </c>
    </row>
    <row r="908" spans="2:11" x14ac:dyDescent="0.25">
      <c r="B908" s="3" t="s">
        <v>1648</v>
      </c>
      <c r="E908" s="3" t="s">
        <v>1649</v>
      </c>
      <c r="F9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08" s="2" t="str">
        <f>IF(Table1[[#This Row],[Type]]="Major",Table1[[#This Row],[Major Group]],G907)</f>
        <v>43-0000</v>
      </c>
      <c r="H908" s="2" t="str">
        <f>IF(Table1[[#This Row],[Major Group]]&lt;&gt;"","n/a",IF(Table1[[#This Row],[Minor Group]]&lt;&gt;"",Table1[[#This Row],[Minor Group]],H907))</f>
        <v>43-5000</v>
      </c>
      <c r="I908" s="2" t="str">
        <f>IF(Table1[[#This Row],[Major Group]]&lt;&gt;"","n/a",IF(Table1[[#This Row],[Minor Group]]&lt;&gt;"","n/a",IF(Table1[[#This Row],[Broad Group]]&lt;&gt;"",Table1[[#This Row],[Broad Group]],I907)))</f>
        <v>n/a</v>
      </c>
      <c r="J9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Occupation]],J907))))</f>
        <v>n/a</v>
      </c>
      <c r="K908" s="2" t="str">
        <f>Table1[[#This Row],[Group Name]]</f>
        <v>Material Recording, Scheduling, Dispatching, and Distributing Workers</v>
      </c>
    </row>
    <row r="909" spans="2:11" x14ac:dyDescent="0.25">
      <c r="C909" s="1" t="s">
        <v>1650</v>
      </c>
      <c r="E909" s="1" t="s">
        <v>1651</v>
      </c>
      <c r="F9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09" s="2" t="str">
        <f>IF(Table1[[#This Row],[Type]]="Major",Table1[[#This Row],[Major Group]],G908)</f>
        <v>43-0000</v>
      </c>
      <c r="H909" s="2" t="str">
        <f>IF(Table1[[#This Row],[Major Group]]&lt;&gt;"","n/a",IF(Table1[[#This Row],[Minor Group]]&lt;&gt;"",Table1[[#This Row],[Minor Group]],H908))</f>
        <v>43-5000</v>
      </c>
      <c r="I909" s="2" t="str">
        <f>IF(Table1[[#This Row],[Major Group]]&lt;&gt;"","n/a",IF(Table1[[#This Row],[Minor Group]]&lt;&gt;"","n/a",IF(Table1[[#This Row],[Broad Group]]&lt;&gt;"",Table1[[#This Row],[Broad Group]],I908)))</f>
        <v>43-5010</v>
      </c>
      <c r="J9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Occupation]],J908))))</f>
        <v>n/a</v>
      </c>
      <c r="K909" s="2" t="str">
        <f>Table1[[#This Row],[Group Name]]</f>
        <v>Cargo and Freight Agents</v>
      </c>
    </row>
    <row r="910" spans="2:11" x14ac:dyDescent="0.25">
      <c r="D910" s="5" t="s">
        <v>1652</v>
      </c>
      <c r="E910" s="5" t="s">
        <v>1651</v>
      </c>
      <c r="F9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10" s="2" t="str">
        <f>IF(Table1[[#This Row],[Type]]="Major",Table1[[#This Row],[Major Group]],G909)</f>
        <v>43-0000</v>
      </c>
      <c r="H910" s="2" t="str">
        <f>IF(Table1[[#This Row],[Major Group]]&lt;&gt;"","n/a",IF(Table1[[#This Row],[Minor Group]]&lt;&gt;"",Table1[[#This Row],[Minor Group]],H909))</f>
        <v>43-5000</v>
      </c>
      <c r="I910" s="2" t="str">
        <f>IF(Table1[[#This Row],[Major Group]]&lt;&gt;"","n/a",IF(Table1[[#This Row],[Minor Group]]&lt;&gt;"","n/a",IF(Table1[[#This Row],[Broad Group]]&lt;&gt;"",Table1[[#This Row],[Broad Group]],I909)))</f>
        <v>43-5010</v>
      </c>
      <c r="J9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Occupation]],J909))))</f>
        <v>43-5011</v>
      </c>
      <c r="K910" s="2" t="str">
        <f>Table1[[#This Row],[Group Name]]</f>
        <v>Cargo and Freight Agents</v>
      </c>
    </row>
    <row r="911" spans="2:11" x14ac:dyDescent="0.25">
      <c r="C911" s="1" t="s">
        <v>1653</v>
      </c>
      <c r="E911" s="1" t="s">
        <v>1654</v>
      </c>
      <c r="F9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11" s="2" t="str">
        <f>IF(Table1[[#This Row],[Type]]="Major",Table1[[#This Row],[Major Group]],G910)</f>
        <v>43-0000</v>
      </c>
      <c r="H911" s="2" t="str">
        <f>IF(Table1[[#This Row],[Major Group]]&lt;&gt;"","n/a",IF(Table1[[#This Row],[Minor Group]]&lt;&gt;"",Table1[[#This Row],[Minor Group]],H910))</f>
        <v>43-5000</v>
      </c>
      <c r="I911" s="2" t="str">
        <f>IF(Table1[[#This Row],[Major Group]]&lt;&gt;"","n/a",IF(Table1[[#This Row],[Minor Group]]&lt;&gt;"","n/a",IF(Table1[[#This Row],[Broad Group]]&lt;&gt;"",Table1[[#This Row],[Broad Group]],I910)))</f>
        <v>43-5020</v>
      </c>
      <c r="J9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Occupation]],J910))))</f>
        <v>n/a</v>
      </c>
      <c r="K911" s="2" t="str">
        <f>Table1[[#This Row],[Group Name]]</f>
        <v>Couriers and Messengers</v>
      </c>
    </row>
    <row r="912" spans="2:11" x14ac:dyDescent="0.25">
      <c r="D912" s="5" t="s">
        <v>1655</v>
      </c>
      <c r="E912" s="5" t="s">
        <v>1654</v>
      </c>
      <c r="F9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12" s="2" t="str">
        <f>IF(Table1[[#This Row],[Type]]="Major",Table1[[#This Row],[Major Group]],G911)</f>
        <v>43-0000</v>
      </c>
      <c r="H912" s="2" t="str">
        <f>IF(Table1[[#This Row],[Major Group]]&lt;&gt;"","n/a",IF(Table1[[#This Row],[Minor Group]]&lt;&gt;"",Table1[[#This Row],[Minor Group]],H911))</f>
        <v>43-5000</v>
      </c>
      <c r="I912" s="2" t="str">
        <f>IF(Table1[[#This Row],[Major Group]]&lt;&gt;"","n/a",IF(Table1[[#This Row],[Minor Group]]&lt;&gt;"","n/a",IF(Table1[[#This Row],[Broad Group]]&lt;&gt;"",Table1[[#This Row],[Broad Group]],I911)))</f>
        <v>43-5020</v>
      </c>
      <c r="J9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Occupation]],J911))))</f>
        <v>43-5021</v>
      </c>
      <c r="K912" s="2" t="str">
        <f>Table1[[#This Row],[Group Name]]</f>
        <v>Couriers and Messengers</v>
      </c>
    </row>
    <row r="913" spans="2:11" x14ac:dyDescent="0.25">
      <c r="C913" s="1" t="s">
        <v>1656</v>
      </c>
      <c r="E913" s="1" t="s">
        <v>1657</v>
      </c>
      <c r="F9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13" s="2" t="str">
        <f>IF(Table1[[#This Row],[Type]]="Major",Table1[[#This Row],[Major Group]],G912)</f>
        <v>43-0000</v>
      </c>
      <c r="H913" s="2" t="str">
        <f>IF(Table1[[#This Row],[Major Group]]&lt;&gt;"","n/a",IF(Table1[[#This Row],[Minor Group]]&lt;&gt;"",Table1[[#This Row],[Minor Group]],H912))</f>
        <v>43-5000</v>
      </c>
      <c r="I913" s="2" t="str">
        <f>IF(Table1[[#This Row],[Major Group]]&lt;&gt;"","n/a",IF(Table1[[#This Row],[Minor Group]]&lt;&gt;"","n/a",IF(Table1[[#This Row],[Broad Group]]&lt;&gt;"",Table1[[#This Row],[Broad Group]],I912)))</f>
        <v>43-5030</v>
      </c>
      <c r="J9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Occupation]],J912))))</f>
        <v>n/a</v>
      </c>
      <c r="K913" s="2" t="str">
        <f>Table1[[#This Row],[Group Name]]</f>
        <v>Dispatchers</v>
      </c>
    </row>
    <row r="914" spans="2:11" x14ac:dyDescent="0.25">
      <c r="D914" s="5" t="s">
        <v>1658</v>
      </c>
      <c r="E914" s="5" t="s">
        <v>2634</v>
      </c>
      <c r="F9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14" s="2" t="str">
        <f>IF(Table1[[#This Row],[Type]]="Major",Table1[[#This Row],[Major Group]],G913)</f>
        <v>43-0000</v>
      </c>
      <c r="H914" s="2" t="str">
        <f>IF(Table1[[#This Row],[Major Group]]&lt;&gt;"","n/a",IF(Table1[[#This Row],[Minor Group]]&lt;&gt;"",Table1[[#This Row],[Minor Group]],H913))</f>
        <v>43-5000</v>
      </c>
      <c r="I914" s="2" t="str">
        <f>IF(Table1[[#This Row],[Major Group]]&lt;&gt;"","n/a",IF(Table1[[#This Row],[Minor Group]]&lt;&gt;"","n/a",IF(Table1[[#This Row],[Broad Group]]&lt;&gt;"",Table1[[#This Row],[Broad Group]],I913)))</f>
        <v>43-5030</v>
      </c>
      <c r="J9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Occupation]],J913))))</f>
        <v>43-5031</v>
      </c>
      <c r="K914" s="2" t="str">
        <f>Table1[[#This Row],[Group Name]]</f>
        <v>Public Safety Telecommunicators</v>
      </c>
    </row>
    <row r="915" spans="2:11" ht="25.5" x14ac:dyDescent="0.25">
      <c r="D915" s="5" t="s">
        <v>1659</v>
      </c>
      <c r="E915" s="5" t="s">
        <v>1660</v>
      </c>
      <c r="F9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15" s="2" t="str">
        <f>IF(Table1[[#This Row],[Type]]="Major",Table1[[#This Row],[Major Group]],G914)</f>
        <v>43-0000</v>
      </c>
      <c r="H915" s="2" t="str">
        <f>IF(Table1[[#This Row],[Major Group]]&lt;&gt;"","n/a",IF(Table1[[#This Row],[Minor Group]]&lt;&gt;"",Table1[[#This Row],[Minor Group]],H914))</f>
        <v>43-5000</v>
      </c>
      <c r="I915" s="2" t="str">
        <f>IF(Table1[[#This Row],[Major Group]]&lt;&gt;"","n/a",IF(Table1[[#This Row],[Minor Group]]&lt;&gt;"","n/a",IF(Table1[[#This Row],[Broad Group]]&lt;&gt;"",Table1[[#This Row],[Broad Group]],I914)))</f>
        <v>43-5030</v>
      </c>
      <c r="J9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Occupation]],J914))))</f>
        <v>43-5032</v>
      </c>
      <c r="K915" s="2" t="str">
        <f>Table1[[#This Row],[Group Name]]</f>
        <v>Dispatchers, Except Police, Fire, and Ambulance</v>
      </c>
    </row>
    <row r="916" spans="2:11" x14ac:dyDescent="0.25">
      <c r="C916" s="1" t="s">
        <v>1661</v>
      </c>
      <c r="E916" s="1" t="s">
        <v>1662</v>
      </c>
      <c r="F9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16" s="2" t="str">
        <f>IF(Table1[[#This Row],[Type]]="Major",Table1[[#This Row],[Major Group]],G915)</f>
        <v>43-0000</v>
      </c>
      <c r="H916" s="2" t="str">
        <f>IF(Table1[[#This Row],[Major Group]]&lt;&gt;"","n/a",IF(Table1[[#This Row],[Minor Group]]&lt;&gt;"",Table1[[#This Row],[Minor Group]],H915))</f>
        <v>43-5000</v>
      </c>
      <c r="I916" s="2" t="str">
        <f>IF(Table1[[#This Row],[Major Group]]&lt;&gt;"","n/a",IF(Table1[[#This Row],[Minor Group]]&lt;&gt;"","n/a",IF(Table1[[#This Row],[Broad Group]]&lt;&gt;"",Table1[[#This Row],[Broad Group]],I915)))</f>
        <v>43-5040</v>
      </c>
      <c r="J9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Occupation]],J915))))</f>
        <v>n/a</v>
      </c>
      <c r="K916" s="2" t="str">
        <f>Table1[[#This Row],[Group Name]]</f>
        <v>Meter Readers, Utilities</v>
      </c>
    </row>
    <row r="917" spans="2:11" x14ac:dyDescent="0.25">
      <c r="D917" s="5" t="s">
        <v>1663</v>
      </c>
      <c r="E917" s="5" t="s">
        <v>1662</v>
      </c>
      <c r="F9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17" s="2" t="str">
        <f>IF(Table1[[#This Row],[Type]]="Major",Table1[[#This Row],[Major Group]],G916)</f>
        <v>43-0000</v>
      </c>
      <c r="H917" s="2" t="str">
        <f>IF(Table1[[#This Row],[Major Group]]&lt;&gt;"","n/a",IF(Table1[[#This Row],[Minor Group]]&lt;&gt;"",Table1[[#This Row],[Minor Group]],H916))</f>
        <v>43-5000</v>
      </c>
      <c r="I917" s="2" t="str">
        <f>IF(Table1[[#This Row],[Major Group]]&lt;&gt;"","n/a",IF(Table1[[#This Row],[Minor Group]]&lt;&gt;"","n/a",IF(Table1[[#This Row],[Broad Group]]&lt;&gt;"",Table1[[#This Row],[Broad Group]],I916)))</f>
        <v>43-5040</v>
      </c>
      <c r="J9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Occupation]],J916))))</f>
        <v>43-5041</v>
      </c>
      <c r="K917" s="2" t="str">
        <f>Table1[[#This Row],[Group Name]]</f>
        <v>Meter Readers, Utilities</v>
      </c>
    </row>
    <row r="918" spans="2:11" x14ac:dyDescent="0.25">
      <c r="C918" s="1" t="s">
        <v>1664</v>
      </c>
      <c r="E918" s="1" t="s">
        <v>1665</v>
      </c>
      <c r="F9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18" s="2" t="str">
        <f>IF(Table1[[#This Row],[Type]]="Major",Table1[[#This Row],[Major Group]],G917)</f>
        <v>43-0000</v>
      </c>
      <c r="H918" s="2" t="str">
        <f>IF(Table1[[#This Row],[Major Group]]&lt;&gt;"","n/a",IF(Table1[[#This Row],[Minor Group]]&lt;&gt;"",Table1[[#This Row],[Minor Group]],H917))</f>
        <v>43-5000</v>
      </c>
      <c r="I918" s="2" t="str">
        <f>IF(Table1[[#This Row],[Major Group]]&lt;&gt;"","n/a",IF(Table1[[#This Row],[Minor Group]]&lt;&gt;"","n/a",IF(Table1[[#This Row],[Broad Group]]&lt;&gt;"",Table1[[#This Row],[Broad Group]],I917)))</f>
        <v>43-5050</v>
      </c>
      <c r="J9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Occupation]],J917))))</f>
        <v>n/a</v>
      </c>
      <c r="K918" s="2" t="str">
        <f>Table1[[#This Row],[Group Name]]</f>
        <v>Postal Service Workers</v>
      </c>
    </row>
    <row r="919" spans="2:11" x14ac:dyDescent="0.25">
      <c r="D919" s="5" t="s">
        <v>1666</v>
      </c>
      <c r="E919" s="5" t="s">
        <v>1667</v>
      </c>
      <c r="F9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19" s="2" t="str">
        <f>IF(Table1[[#This Row],[Type]]="Major",Table1[[#This Row],[Major Group]],G918)</f>
        <v>43-0000</v>
      </c>
      <c r="H919" s="2" t="str">
        <f>IF(Table1[[#This Row],[Major Group]]&lt;&gt;"","n/a",IF(Table1[[#This Row],[Minor Group]]&lt;&gt;"",Table1[[#This Row],[Minor Group]],H918))</f>
        <v>43-5000</v>
      </c>
      <c r="I919" s="2" t="str">
        <f>IF(Table1[[#This Row],[Major Group]]&lt;&gt;"","n/a",IF(Table1[[#This Row],[Minor Group]]&lt;&gt;"","n/a",IF(Table1[[#This Row],[Broad Group]]&lt;&gt;"",Table1[[#This Row],[Broad Group]],I918)))</f>
        <v>43-5050</v>
      </c>
      <c r="J9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Occupation]],J918))))</f>
        <v>43-5051</v>
      </c>
      <c r="K919" s="2" t="str">
        <f>Table1[[#This Row],[Group Name]]</f>
        <v>Postal Service Clerks</v>
      </c>
    </row>
    <row r="920" spans="2:11" x14ac:dyDescent="0.25">
      <c r="D920" s="5" t="s">
        <v>1668</v>
      </c>
      <c r="E920" s="5" t="s">
        <v>1669</v>
      </c>
      <c r="F9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20" s="2" t="str">
        <f>IF(Table1[[#This Row],[Type]]="Major",Table1[[#This Row],[Major Group]],G919)</f>
        <v>43-0000</v>
      </c>
      <c r="H920" s="2" t="str">
        <f>IF(Table1[[#This Row],[Major Group]]&lt;&gt;"","n/a",IF(Table1[[#This Row],[Minor Group]]&lt;&gt;"",Table1[[#This Row],[Minor Group]],H919))</f>
        <v>43-5000</v>
      </c>
      <c r="I920" s="2" t="str">
        <f>IF(Table1[[#This Row],[Major Group]]&lt;&gt;"","n/a",IF(Table1[[#This Row],[Minor Group]]&lt;&gt;"","n/a",IF(Table1[[#This Row],[Broad Group]]&lt;&gt;"",Table1[[#This Row],[Broad Group]],I919)))</f>
        <v>43-5050</v>
      </c>
      <c r="J9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Occupation]],J919))))</f>
        <v>43-5052</v>
      </c>
      <c r="K920" s="2" t="str">
        <f>Table1[[#This Row],[Group Name]]</f>
        <v>Postal Service Mail Carriers</v>
      </c>
    </row>
    <row r="921" spans="2:11" ht="38.25" x14ac:dyDescent="0.25">
      <c r="D921" s="5" t="s">
        <v>1670</v>
      </c>
      <c r="E921" s="5" t="s">
        <v>1671</v>
      </c>
      <c r="F9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21" s="2" t="str">
        <f>IF(Table1[[#This Row],[Type]]="Major",Table1[[#This Row],[Major Group]],G920)</f>
        <v>43-0000</v>
      </c>
      <c r="H921" s="2" t="str">
        <f>IF(Table1[[#This Row],[Major Group]]&lt;&gt;"","n/a",IF(Table1[[#This Row],[Minor Group]]&lt;&gt;"",Table1[[#This Row],[Minor Group]],H920))</f>
        <v>43-5000</v>
      </c>
      <c r="I921" s="2" t="str">
        <f>IF(Table1[[#This Row],[Major Group]]&lt;&gt;"","n/a",IF(Table1[[#This Row],[Minor Group]]&lt;&gt;"","n/a",IF(Table1[[#This Row],[Broad Group]]&lt;&gt;"",Table1[[#This Row],[Broad Group]],I920)))</f>
        <v>43-5050</v>
      </c>
      <c r="J9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Occupation]],J920))))</f>
        <v>43-5053</v>
      </c>
      <c r="K921" s="2" t="str">
        <f>Table1[[#This Row],[Group Name]]</f>
        <v>Postal Service Mail Sorters, Processors, and Processing Machine Operators</v>
      </c>
    </row>
    <row r="922" spans="2:11" ht="30" x14ac:dyDescent="0.25">
      <c r="C922" s="1" t="s">
        <v>1672</v>
      </c>
      <c r="E922" s="1" t="s">
        <v>1673</v>
      </c>
      <c r="F9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22" s="2" t="str">
        <f>IF(Table1[[#This Row],[Type]]="Major",Table1[[#This Row],[Major Group]],G921)</f>
        <v>43-0000</v>
      </c>
      <c r="H922" s="2" t="str">
        <f>IF(Table1[[#This Row],[Major Group]]&lt;&gt;"","n/a",IF(Table1[[#This Row],[Minor Group]]&lt;&gt;"",Table1[[#This Row],[Minor Group]],H921))</f>
        <v>43-5000</v>
      </c>
      <c r="I922" s="2" t="str">
        <f>IF(Table1[[#This Row],[Major Group]]&lt;&gt;"","n/a",IF(Table1[[#This Row],[Minor Group]]&lt;&gt;"","n/a",IF(Table1[[#This Row],[Broad Group]]&lt;&gt;"",Table1[[#This Row],[Broad Group]],I921)))</f>
        <v>43-5060</v>
      </c>
      <c r="J9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Occupation]],J921))))</f>
        <v>n/a</v>
      </c>
      <c r="K922" s="2" t="str">
        <f>Table1[[#This Row],[Group Name]]</f>
        <v>Production, Planning, and Expediting Clerks</v>
      </c>
    </row>
    <row r="923" spans="2:11" ht="25.5" x14ac:dyDescent="0.25">
      <c r="D923" s="5" t="s">
        <v>1674</v>
      </c>
      <c r="E923" s="5" t="s">
        <v>1673</v>
      </c>
      <c r="F9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23" s="2" t="str">
        <f>IF(Table1[[#This Row],[Type]]="Major",Table1[[#This Row],[Major Group]],G922)</f>
        <v>43-0000</v>
      </c>
      <c r="H923" s="2" t="str">
        <f>IF(Table1[[#This Row],[Major Group]]&lt;&gt;"","n/a",IF(Table1[[#This Row],[Minor Group]]&lt;&gt;"",Table1[[#This Row],[Minor Group]],H922))</f>
        <v>43-5000</v>
      </c>
      <c r="I923" s="2" t="str">
        <f>IF(Table1[[#This Row],[Major Group]]&lt;&gt;"","n/a",IF(Table1[[#This Row],[Minor Group]]&lt;&gt;"","n/a",IF(Table1[[#This Row],[Broad Group]]&lt;&gt;"",Table1[[#This Row],[Broad Group]],I922)))</f>
        <v>43-5060</v>
      </c>
      <c r="J9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Occupation]],J922))))</f>
        <v>43-5061</v>
      </c>
      <c r="K923" s="2" t="str">
        <f>Table1[[#This Row],[Group Name]]</f>
        <v>Production, Planning, and Expediting Clerks</v>
      </c>
    </row>
    <row r="924" spans="2:11" ht="30" x14ac:dyDescent="0.25">
      <c r="C924" s="1" t="s">
        <v>1675</v>
      </c>
      <c r="E924" s="1" t="s">
        <v>1676</v>
      </c>
      <c r="F9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24" s="2" t="str">
        <f>IF(Table1[[#This Row],[Type]]="Major",Table1[[#This Row],[Major Group]],G923)</f>
        <v>43-0000</v>
      </c>
      <c r="H924" s="2" t="str">
        <f>IF(Table1[[#This Row],[Major Group]]&lt;&gt;"","n/a",IF(Table1[[#This Row],[Minor Group]]&lt;&gt;"",Table1[[#This Row],[Minor Group]],H923))</f>
        <v>43-5000</v>
      </c>
      <c r="I924" s="2" t="str">
        <f>IF(Table1[[#This Row],[Major Group]]&lt;&gt;"","n/a",IF(Table1[[#This Row],[Minor Group]]&lt;&gt;"","n/a",IF(Table1[[#This Row],[Broad Group]]&lt;&gt;"",Table1[[#This Row],[Broad Group]],I923)))</f>
        <v>43-5070</v>
      </c>
      <c r="J9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Occupation]],J923))))</f>
        <v>n/a</v>
      </c>
      <c r="K924" s="2" t="str">
        <f>Table1[[#This Row],[Group Name]]</f>
        <v>Shipping, Receiving, and Inventory Clerks</v>
      </c>
    </row>
    <row r="925" spans="2:11" ht="25.5" x14ac:dyDescent="0.25">
      <c r="D925" s="5" t="s">
        <v>1677</v>
      </c>
      <c r="E925" s="5" t="s">
        <v>1676</v>
      </c>
      <c r="F9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25" s="2" t="str">
        <f>IF(Table1[[#This Row],[Type]]="Major",Table1[[#This Row],[Major Group]],G924)</f>
        <v>43-0000</v>
      </c>
      <c r="H925" s="2" t="str">
        <f>IF(Table1[[#This Row],[Major Group]]&lt;&gt;"","n/a",IF(Table1[[#This Row],[Minor Group]]&lt;&gt;"",Table1[[#This Row],[Minor Group]],H924))</f>
        <v>43-5000</v>
      </c>
      <c r="I925" s="2" t="str">
        <f>IF(Table1[[#This Row],[Major Group]]&lt;&gt;"","n/a",IF(Table1[[#This Row],[Minor Group]]&lt;&gt;"","n/a",IF(Table1[[#This Row],[Broad Group]]&lt;&gt;"",Table1[[#This Row],[Broad Group]],I924)))</f>
        <v>43-5070</v>
      </c>
      <c r="J9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Occupation]],J924))))</f>
        <v>43-5071</v>
      </c>
      <c r="K925" s="2" t="str">
        <f>Table1[[#This Row],[Group Name]]</f>
        <v>Shipping, Receiving, and Inventory Clerks</v>
      </c>
    </row>
    <row r="926" spans="2:11" ht="30" x14ac:dyDescent="0.25">
      <c r="C926" s="1" t="s">
        <v>1678</v>
      </c>
      <c r="E926" s="1" t="s">
        <v>1679</v>
      </c>
      <c r="F9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26" s="2" t="str">
        <f>IF(Table1[[#This Row],[Type]]="Major",Table1[[#This Row],[Major Group]],G925)</f>
        <v>43-0000</v>
      </c>
      <c r="H926" s="2" t="str">
        <f>IF(Table1[[#This Row],[Major Group]]&lt;&gt;"","n/a",IF(Table1[[#This Row],[Minor Group]]&lt;&gt;"",Table1[[#This Row],[Minor Group]],H925))</f>
        <v>43-5000</v>
      </c>
      <c r="I926" s="2" t="str">
        <f>IF(Table1[[#This Row],[Major Group]]&lt;&gt;"","n/a",IF(Table1[[#This Row],[Minor Group]]&lt;&gt;"","n/a",IF(Table1[[#This Row],[Broad Group]]&lt;&gt;"",Table1[[#This Row],[Broad Group]],I925)))</f>
        <v>43-5110</v>
      </c>
      <c r="J9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Occupation]],J925))))</f>
        <v>n/a</v>
      </c>
      <c r="K926" s="2" t="str">
        <f>Table1[[#This Row],[Group Name]]</f>
        <v>Weighers, Measurers, Checkers, and Samplers, Recordkeeping</v>
      </c>
    </row>
    <row r="927" spans="2:11" ht="25.5" x14ac:dyDescent="0.25">
      <c r="D927" s="5" t="s">
        <v>1680</v>
      </c>
      <c r="E927" s="5" t="s">
        <v>1679</v>
      </c>
      <c r="F9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27" s="2" t="str">
        <f>IF(Table1[[#This Row],[Type]]="Major",Table1[[#This Row],[Major Group]],G926)</f>
        <v>43-0000</v>
      </c>
      <c r="H927" s="2" t="str">
        <f>IF(Table1[[#This Row],[Major Group]]&lt;&gt;"","n/a",IF(Table1[[#This Row],[Minor Group]]&lt;&gt;"",Table1[[#This Row],[Minor Group]],H926))</f>
        <v>43-5000</v>
      </c>
      <c r="I927" s="2" t="str">
        <f>IF(Table1[[#This Row],[Major Group]]&lt;&gt;"","n/a",IF(Table1[[#This Row],[Minor Group]]&lt;&gt;"","n/a",IF(Table1[[#This Row],[Broad Group]]&lt;&gt;"",Table1[[#This Row],[Broad Group]],I926)))</f>
        <v>43-5110</v>
      </c>
      <c r="J9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Occupation]],J926))))</f>
        <v>43-5111</v>
      </c>
      <c r="K927" s="2" t="str">
        <f>Table1[[#This Row],[Group Name]]</f>
        <v>Weighers, Measurers, Checkers, and Samplers, Recordkeeping</v>
      </c>
    </row>
    <row r="928" spans="2:11" x14ac:dyDescent="0.25">
      <c r="B928" s="3" t="s">
        <v>1681</v>
      </c>
      <c r="E928" s="3" t="s">
        <v>1682</v>
      </c>
      <c r="F9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28" s="2" t="str">
        <f>IF(Table1[[#This Row],[Type]]="Major",Table1[[#This Row],[Major Group]],G927)</f>
        <v>43-0000</v>
      </c>
      <c r="H928" s="2" t="str">
        <f>IF(Table1[[#This Row],[Major Group]]&lt;&gt;"","n/a",IF(Table1[[#This Row],[Minor Group]]&lt;&gt;"",Table1[[#This Row],[Minor Group]],H927))</f>
        <v>43-6000</v>
      </c>
      <c r="I928" s="2" t="str">
        <f>IF(Table1[[#This Row],[Major Group]]&lt;&gt;"","n/a",IF(Table1[[#This Row],[Minor Group]]&lt;&gt;"","n/a",IF(Table1[[#This Row],[Broad Group]]&lt;&gt;"",Table1[[#This Row],[Broad Group]],I927)))</f>
        <v>n/a</v>
      </c>
      <c r="J9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Occupation]],J927))))</f>
        <v>n/a</v>
      </c>
      <c r="K928" s="2" t="str">
        <f>Table1[[#This Row],[Group Name]]</f>
        <v>Secretaries and Administrative Assistants</v>
      </c>
    </row>
    <row r="929" spans="2:11" ht="30" x14ac:dyDescent="0.25">
      <c r="C929" s="1" t="s">
        <v>1683</v>
      </c>
      <c r="E929" s="1" t="s">
        <v>1682</v>
      </c>
      <c r="F9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29" s="2" t="str">
        <f>IF(Table1[[#This Row],[Type]]="Major",Table1[[#This Row],[Major Group]],G928)</f>
        <v>43-0000</v>
      </c>
      <c r="H929" s="2" t="str">
        <f>IF(Table1[[#This Row],[Major Group]]&lt;&gt;"","n/a",IF(Table1[[#This Row],[Minor Group]]&lt;&gt;"",Table1[[#This Row],[Minor Group]],H928))</f>
        <v>43-6000</v>
      </c>
      <c r="I929" s="2" t="str">
        <f>IF(Table1[[#This Row],[Major Group]]&lt;&gt;"","n/a",IF(Table1[[#This Row],[Minor Group]]&lt;&gt;"","n/a",IF(Table1[[#This Row],[Broad Group]]&lt;&gt;"",Table1[[#This Row],[Broad Group]],I928)))</f>
        <v>43-6010</v>
      </c>
      <c r="J9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Occupation]],J928))))</f>
        <v>n/a</v>
      </c>
      <c r="K929" s="2" t="str">
        <f>Table1[[#This Row],[Group Name]]</f>
        <v>Secretaries and Administrative Assistants</v>
      </c>
    </row>
    <row r="930" spans="2:11" ht="25.5" x14ac:dyDescent="0.25">
      <c r="D930" s="5" t="s">
        <v>1684</v>
      </c>
      <c r="E930" s="5" t="s">
        <v>1685</v>
      </c>
      <c r="F9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0" s="2" t="str">
        <f>IF(Table1[[#This Row],[Type]]="Major",Table1[[#This Row],[Major Group]],G929)</f>
        <v>43-0000</v>
      </c>
      <c r="H930" s="2" t="str">
        <f>IF(Table1[[#This Row],[Major Group]]&lt;&gt;"","n/a",IF(Table1[[#This Row],[Minor Group]]&lt;&gt;"",Table1[[#This Row],[Minor Group]],H929))</f>
        <v>43-6000</v>
      </c>
      <c r="I930" s="2" t="str">
        <f>IF(Table1[[#This Row],[Major Group]]&lt;&gt;"","n/a",IF(Table1[[#This Row],[Minor Group]]&lt;&gt;"","n/a",IF(Table1[[#This Row],[Broad Group]]&lt;&gt;"",Table1[[#This Row],[Broad Group]],I929)))</f>
        <v>43-6010</v>
      </c>
      <c r="J9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Occupation]],J929))))</f>
        <v>43-6011</v>
      </c>
      <c r="K930" s="2" t="str">
        <f>Table1[[#This Row],[Group Name]]</f>
        <v>Executive Secretaries and Executive Administrative Assistants</v>
      </c>
    </row>
    <row r="931" spans="2:11" ht="25.5" x14ac:dyDescent="0.25">
      <c r="D931" s="5" t="s">
        <v>1686</v>
      </c>
      <c r="E931" s="5" t="s">
        <v>1687</v>
      </c>
      <c r="F9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1" s="2" t="str">
        <f>IF(Table1[[#This Row],[Type]]="Major",Table1[[#This Row],[Major Group]],G930)</f>
        <v>43-0000</v>
      </c>
      <c r="H931" s="2" t="str">
        <f>IF(Table1[[#This Row],[Major Group]]&lt;&gt;"","n/a",IF(Table1[[#This Row],[Minor Group]]&lt;&gt;"",Table1[[#This Row],[Minor Group]],H930))</f>
        <v>43-6000</v>
      </c>
      <c r="I931" s="2" t="str">
        <f>IF(Table1[[#This Row],[Major Group]]&lt;&gt;"","n/a",IF(Table1[[#This Row],[Minor Group]]&lt;&gt;"","n/a",IF(Table1[[#This Row],[Broad Group]]&lt;&gt;"",Table1[[#This Row],[Broad Group]],I930)))</f>
        <v>43-6010</v>
      </c>
      <c r="J9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Occupation]],J930))))</f>
        <v>43-6012</v>
      </c>
      <c r="K931" s="2" t="str">
        <f>Table1[[#This Row],[Group Name]]</f>
        <v>Legal Secretaries and Administrative Assistants</v>
      </c>
    </row>
    <row r="932" spans="2:11" ht="25.5" x14ac:dyDescent="0.25">
      <c r="D932" s="5" t="s">
        <v>1688</v>
      </c>
      <c r="E932" s="5" t="s">
        <v>1689</v>
      </c>
      <c r="F9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2" s="2" t="str">
        <f>IF(Table1[[#This Row],[Type]]="Major",Table1[[#This Row],[Major Group]],G931)</f>
        <v>43-0000</v>
      </c>
      <c r="H932" s="2" t="str">
        <f>IF(Table1[[#This Row],[Major Group]]&lt;&gt;"","n/a",IF(Table1[[#This Row],[Minor Group]]&lt;&gt;"",Table1[[#This Row],[Minor Group]],H931))</f>
        <v>43-6000</v>
      </c>
      <c r="I932" s="2" t="str">
        <f>IF(Table1[[#This Row],[Major Group]]&lt;&gt;"","n/a",IF(Table1[[#This Row],[Minor Group]]&lt;&gt;"","n/a",IF(Table1[[#This Row],[Broad Group]]&lt;&gt;"",Table1[[#This Row],[Broad Group]],I931)))</f>
        <v>43-6010</v>
      </c>
      <c r="J9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Occupation]],J931))))</f>
        <v>43-6013</v>
      </c>
      <c r="K932" s="2" t="str">
        <f>Table1[[#This Row],[Group Name]]</f>
        <v>Medical Secretaries and Administrative Assistants</v>
      </c>
    </row>
    <row r="933" spans="2:11" ht="38.25" x14ac:dyDescent="0.25">
      <c r="D933" s="5" t="s">
        <v>1690</v>
      </c>
      <c r="E933" s="5" t="s">
        <v>1691</v>
      </c>
      <c r="F9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3" s="2" t="str">
        <f>IF(Table1[[#This Row],[Type]]="Major",Table1[[#This Row],[Major Group]],G932)</f>
        <v>43-0000</v>
      </c>
      <c r="H933" s="2" t="str">
        <f>IF(Table1[[#This Row],[Major Group]]&lt;&gt;"","n/a",IF(Table1[[#This Row],[Minor Group]]&lt;&gt;"",Table1[[#This Row],[Minor Group]],H932))</f>
        <v>43-6000</v>
      </c>
      <c r="I933" s="2" t="str">
        <f>IF(Table1[[#This Row],[Major Group]]&lt;&gt;"","n/a",IF(Table1[[#This Row],[Minor Group]]&lt;&gt;"","n/a",IF(Table1[[#This Row],[Broad Group]]&lt;&gt;"",Table1[[#This Row],[Broad Group]],I932)))</f>
        <v>43-6010</v>
      </c>
      <c r="J9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Occupation]],J932))))</f>
        <v>43-6014</v>
      </c>
      <c r="K933" s="2" t="str">
        <f>Table1[[#This Row],[Group Name]]</f>
        <v>Secretaries and Administrative Assistants, Except Legal, Medical, and Executive</v>
      </c>
    </row>
    <row r="934" spans="2:11" x14ac:dyDescent="0.25">
      <c r="B934" s="3" t="s">
        <v>1692</v>
      </c>
      <c r="E934" s="3" t="s">
        <v>1693</v>
      </c>
      <c r="F9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34" s="2" t="str">
        <f>IF(Table1[[#This Row],[Type]]="Major",Table1[[#This Row],[Major Group]],G933)</f>
        <v>43-0000</v>
      </c>
      <c r="H934" s="2" t="str">
        <f>IF(Table1[[#This Row],[Major Group]]&lt;&gt;"","n/a",IF(Table1[[#This Row],[Minor Group]]&lt;&gt;"",Table1[[#This Row],[Minor Group]],H933))</f>
        <v>43-9000</v>
      </c>
      <c r="I934" s="2" t="str">
        <f>IF(Table1[[#This Row],[Major Group]]&lt;&gt;"","n/a",IF(Table1[[#This Row],[Minor Group]]&lt;&gt;"","n/a",IF(Table1[[#This Row],[Broad Group]]&lt;&gt;"",Table1[[#This Row],[Broad Group]],I933)))</f>
        <v>n/a</v>
      </c>
      <c r="J9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Occupation]],J933))))</f>
        <v>n/a</v>
      </c>
      <c r="K934" s="2" t="str">
        <f>Table1[[#This Row],[Group Name]]</f>
        <v>Other Office and Administrative Support Workers</v>
      </c>
    </row>
    <row r="935" spans="2:11" ht="30" x14ac:dyDescent="0.25">
      <c r="C935" s="1" t="s">
        <v>1694</v>
      </c>
      <c r="E935" s="1" t="s">
        <v>1695</v>
      </c>
      <c r="F9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35" s="2" t="str">
        <f>IF(Table1[[#This Row],[Type]]="Major",Table1[[#This Row],[Major Group]],G934)</f>
        <v>43-0000</v>
      </c>
      <c r="H935" s="2" t="str">
        <f>IF(Table1[[#This Row],[Major Group]]&lt;&gt;"","n/a",IF(Table1[[#This Row],[Minor Group]]&lt;&gt;"",Table1[[#This Row],[Minor Group]],H934))</f>
        <v>43-9000</v>
      </c>
      <c r="I935" s="2" t="str">
        <f>IF(Table1[[#This Row],[Major Group]]&lt;&gt;"","n/a",IF(Table1[[#This Row],[Minor Group]]&lt;&gt;"","n/a",IF(Table1[[#This Row],[Broad Group]]&lt;&gt;"",Table1[[#This Row],[Broad Group]],I934)))</f>
        <v>43-9020</v>
      </c>
      <c r="J9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Occupation]],J934))))</f>
        <v>n/a</v>
      </c>
      <c r="K935" s="2" t="str">
        <f>Table1[[#This Row],[Group Name]]</f>
        <v>Data Entry and Information Processing Workers</v>
      </c>
    </row>
    <row r="936" spans="2:11" x14ac:dyDescent="0.25">
      <c r="D936" s="5" t="s">
        <v>1696</v>
      </c>
      <c r="E936" s="5" t="s">
        <v>1697</v>
      </c>
      <c r="F9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6" s="2" t="str">
        <f>IF(Table1[[#This Row],[Type]]="Major",Table1[[#This Row],[Major Group]],G935)</f>
        <v>43-0000</v>
      </c>
      <c r="H936" s="2" t="str">
        <f>IF(Table1[[#This Row],[Major Group]]&lt;&gt;"","n/a",IF(Table1[[#This Row],[Minor Group]]&lt;&gt;"",Table1[[#This Row],[Minor Group]],H935))</f>
        <v>43-9000</v>
      </c>
      <c r="I936" s="2" t="str">
        <f>IF(Table1[[#This Row],[Major Group]]&lt;&gt;"","n/a",IF(Table1[[#This Row],[Minor Group]]&lt;&gt;"","n/a",IF(Table1[[#This Row],[Broad Group]]&lt;&gt;"",Table1[[#This Row],[Broad Group]],I935)))</f>
        <v>43-9020</v>
      </c>
      <c r="J9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Occupation]],J935))))</f>
        <v>43-9021</v>
      </c>
      <c r="K936" s="2" t="str">
        <f>Table1[[#This Row],[Group Name]]</f>
        <v>Data Entry Keyers</v>
      </c>
    </row>
    <row r="937" spans="2:11" x14ac:dyDescent="0.25">
      <c r="D937" s="5" t="s">
        <v>1698</v>
      </c>
      <c r="E937" s="5" t="s">
        <v>1699</v>
      </c>
      <c r="F9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7" s="2" t="str">
        <f>IF(Table1[[#This Row],[Type]]="Major",Table1[[#This Row],[Major Group]],G936)</f>
        <v>43-0000</v>
      </c>
      <c r="H937" s="2" t="str">
        <f>IF(Table1[[#This Row],[Major Group]]&lt;&gt;"","n/a",IF(Table1[[#This Row],[Minor Group]]&lt;&gt;"",Table1[[#This Row],[Minor Group]],H936))</f>
        <v>43-9000</v>
      </c>
      <c r="I937" s="2" t="str">
        <f>IF(Table1[[#This Row],[Major Group]]&lt;&gt;"","n/a",IF(Table1[[#This Row],[Minor Group]]&lt;&gt;"","n/a",IF(Table1[[#This Row],[Broad Group]]&lt;&gt;"",Table1[[#This Row],[Broad Group]],I936)))</f>
        <v>43-9020</v>
      </c>
      <c r="J9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Occupation]],J936))))</f>
        <v>43-9022</v>
      </c>
      <c r="K937" s="2" t="str">
        <f>Table1[[#This Row],[Group Name]]</f>
        <v>Word Processors and Typists</v>
      </c>
    </row>
    <row r="938" spans="2:11" x14ac:dyDescent="0.25">
      <c r="C938" s="1" t="s">
        <v>1700</v>
      </c>
      <c r="E938" s="1" t="s">
        <v>1701</v>
      </c>
      <c r="F9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38" s="2" t="str">
        <f>IF(Table1[[#This Row],[Type]]="Major",Table1[[#This Row],[Major Group]],G937)</f>
        <v>43-0000</v>
      </c>
      <c r="H938" s="2" t="str">
        <f>IF(Table1[[#This Row],[Major Group]]&lt;&gt;"","n/a",IF(Table1[[#This Row],[Minor Group]]&lt;&gt;"",Table1[[#This Row],[Minor Group]],H937))</f>
        <v>43-9000</v>
      </c>
      <c r="I938" s="2" t="str">
        <f>IF(Table1[[#This Row],[Major Group]]&lt;&gt;"","n/a",IF(Table1[[#This Row],[Minor Group]]&lt;&gt;"","n/a",IF(Table1[[#This Row],[Broad Group]]&lt;&gt;"",Table1[[#This Row],[Broad Group]],I937)))</f>
        <v>43-9030</v>
      </c>
      <c r="J9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Occupation]],J937))))</f>
        <v>n/a</v>
      </c>
      <c r="K938" s="2" t="str">
        <f>Table1[[#This Row],[Group Name]]</f>
        <v>Desktop Publishers</v>
      </c>
    </row>
    <row r="939" spans="2:11" x14ac:dyDescent="0.25">
      <c r="D939" s="5" t="s">
        <v>1702</v>
      </c>
      <c r="E939" s="5" t="s">
        <v>1701</v>
      </c>
      <c r="F9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39" s="2" t="str">
        <f>IF(Table1[[#This Row],[Type]]="Major",Table1[[#This Row],[Major Group]],G938)</f>
        <v>43-0000</v>
      </c>
      <c r="H939" s="2" t="str">
        <f>IF(Table1[[#This Row],[Major Group]]&lt;&gt;"","n/a",IF(Table1[[#This Row],[Minor Group]]&lt;&gt;"",Table1[[#This Row],[Minor Group]],H938))</f>
        <v>43-9000</v>
      </c>
      <c r="I939" s="2" t="str">
        <f>IF(Table1[[#This Row],[Major Group]]&lt;&gt;"","n/a",IF(Table1[[#This Row],[Minor Group]]&lt;&gt;"","n/a",IF(Table1[[#This Row],[Broad Group]]&lt;&gt;"",Table1[[#This Row],[Broad Group]],I938)))</f>
        <v>43-9030</v>
      </c>
      <c r="J9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Occupation]],J938))))</f>
        <v>43-9031</v>
      </c>
      <c r="K939" s="2" t="str">
        <f>Table1[[#This Row],[Group Name]]</f>
        <v>Desktop Publishers</v>
      </c>
    </row>
    <row r="940" spans="2:11" ht="30" x14ac:dyDescent="0.25">
      <c r="C940" s="1" t="s">
        <v>1703</v>
      </c>
      <c r="E940" s="1" t="s">
        <v>1704</v>
      </c>
      <c r="F9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40" s="2" t="str">
        <f>IF(Table1[[#This Row],[Type]]="Major",Table1[[#This Row],[Major Group]],G939)</f>
        <v>43-0000</v>
      </c>
      <c r="H940" s="2" t="str">
        <f>IF(Table1[[#This Row],[Major Group]]&lt;&gt;"","n/a",IF(Table1[[#This Row],[Minor Group]]&lt;&gt;"",Table1[[#This Row],[Minor Group]],H939))</f>
        <v>43-9000</v>
      </c>
      <c r="I940" s="2" t="str">
        <f>IF(Table1[[#This Row],[Major Group]]&lt;&gt;"","n/a",IF(Table1[[#This Row],[Minor Group]]&lt;&gt;"","n/a",IF(Table1[[#This Row],[Broad Group]]&lt;&gt;"",Table1[[#This Row],[Broad Group]],I939)))</f>
        <v>43-9040</v>
      </c>
      <c r="J9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Occupation]],J939))))</f>
        <v>n/a</v>
      </c>
      <c r="K940" s="2" t="str">
        <f>Table1[[#This Row],[Group Name]]</f>
        <v>Insurance Claims and Policy Processing Clerks</v>
      </c>
    </row>
    <row r="941" spans="2:11" ht="25.5" x14ac:dyDescent="0.25">
      <c r="D941" s="5" t="s">
        <v>1705</v>
      </c>
      <c r="E941" s="5" t="s">
        <v>1704</v>
      </c>
      <c r="F9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41" s="2" t="str">
        <f>IF(Table1[[#This Row],[Type]]="Major",Table1[[#This Row],[Major Group]],G940)</f>
        <v>43-0000</v>
      </c>
      <c r="H941" s="2" t="str">
        <f>IF(Table1[[#This Row],[Major Group]]&lt;&gt;"","n/a",IF(Table1[[#This Row],[Minor Group]]&lt;&gt;"",Table1[[#This Row],[Minor Group]],H940))</f>
        <v>43-9000</v>
      </c>
      <c r="I941" s="2" t="str">
        <f>IF(Table1[[#This Row],[Major Group]]&lt;&gt;"","n/a",IF(Table1[[#This Row],[Minor Group]]&lt;&gt;"","n/a",IF(Table1[[#This Row],[Broad Group]]&lt;&gt;"",Table1[[#This Row],[Broad Group]],I940)))</f>
        <v>43-9040</v>
      </c>
      <c r="J9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Occupation]],J940))))</f>
        <v>43-9041</v>
      </c>
      <c r="K941" s="2" t="str">
        <f>Table1[[#This Row],[Group Name]]</f>
        <v>Insurance Claims and Policy Processing Clerks</v>
      </c>
    </row>
    <row r="942" spans="2:11" ht="30" x14ac:dyDescent="0.25">
      <c r="C942" s="1" t="s">
        <v>1706</v>
      </c>
      <c r="E942" s="1" t="s">
        <v>1707</v>
      </c>
      <c r="F9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42" s="2" t="str">
        <f>IF(Table1[[#This Row],[Type]]="Major",Table1[[#This Row],[Major Group]],G941)</f>
        <v>43-0000</v>
      </c>
      <c r="H942" s="2" t="str">
        <f>IF(Table1[[#This Row],[Major Group]]&lt;&gt;"","n/a",IF(Table1[[#This Row],[Minor Group]]&lt;&gt;"",Table1[[#This Row],[Minor Group]],H941))</f>
        <v>43-9000</v>
      </c>
      <c r="I942" s="2" t="str">
        <f>IF(Table1[[#This Row],[Major Group]]&lt;&gt;"","n/a",IF(Table1[[#This Row],[Minor Group]]&lt;&gt;"","n/a",IF(Table1[[#This Row],[Broad Group]]&lt;&gt;"",Table1[[#This Row],[Broad Group]],I941)))</f>
        <v>43-9050</v>
      </c>
      <c r="J9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Occupation]],J941))))</f>
        <v>n/a</v>
      </c>
      <c r="K942" s="2" t="str">
        <f>Table1[[#This Row],[Group Name]]</f>
        <v>Mail Clerks and Mail Machine Operators, Except Postal Service</v>
      </c>
    </row>
    <row r="943" spans="2:11" ht="25.5" x14ac:dyDescent="0.25">
      <c r="D943" s="5" t="s">
        <v>1708</v>
      </c>
      <c r="E943" s="5" t="s">
        <v>1707</v>
      </c>
      <c r="F9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43" s="2" t="str">
        <f>IF(Table1[[#This Row],[Type]]="Major",Table1[[#This Row],[Major Group]],G942)</f>
        <v>43-0000</v>
      </c>
      <c r="H943" s="2" t="str">
        <f>IF(Table1[[#This Row],[Major Group]]&lt;&gt;"","n/a",IF(Table1[[#This Row],[Minor Group]]&lt;&gt;"",Table1[[#This Row],[Minor Group]],H942))</f>
        <v>43-9000</v>
      </c>
      <c r="I943" s="2" t="str">
        <f>IF(Table1[[#This Row],[Major Group]]&lt;&gt;"","n/a",IF(Table1[[#This Row],[Minor Group]]&lt;&gt;"","n/a",IF(Table1[[#This Row],[Broad Group]]&lt;&gt;"",Table1[[#This Row],[Broad Group]],I942)))</f>
        <v>43-9050</v>
      </c>
      <c r="J9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Occupation]],J942))))</f>
        <v>43-9051</v>
      </c>
      <c r="K943" s="2" t="str">
        <f>Table1[[#This Row],[Group Name]]</f>
        <v>Mail Clerks and Mail Machine Operators, Except Postal Service</v>
      </c>
    </row>
    <row r="944" spans="2:11" x14ac:dyDescent="0.25">
      <c r="C944" s="1" t="s">
        <v>1709</v>
      </c>
      <c r="E944" s="1" t="s">
        <v>1710</v>
      </c>
      <c r="F9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44" s="2" t="str">
        <f>IF(Table1[[#This Row],[Type]]="Major",Table1[[#This Row],[Major Group]],G943)</f>
        <v>43-0000</v>
      </c>
      <c r="H944" s="2" t="str">
        <f>IF(Table1[[#This Row],[Major Group]]&lt;&gt;"","n/a",IF(Table1[[#This Row],[Minor Group]]&lt;&gt;"",Table1[[#This Row],[Minor Group]],H943))</f>
        <v>43-9000</v>
      </c>
      <c r="I944" s="2" t="str">
        <f>IF(Table1[[#This Row],[Major Group]]&lt;&gt;"","n/a",IF(Table1[[#This Row],[Minor Group]]&lt;&gt;"","n/a",IF(Table1[[#This Row],[Broad Group]]&lt;&gt;"",Table1[[#This Row],[Broad Group]],I943)))</f>
        <v>43-9060</v>
      </c>
      <c r="J9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Occupation]],J943))))</f>
        <v>n/a</v>
      </c>
      <c r="K944" s="2" t="str">
        <f>Table1[[#This Row],[Group Name]]</f>
        <v>Office Clerks, General</v>
      </c>
    </row>
    <row r="945" spans="1:11" x14ac:dyDescent="0.25">
      <c r="D945" s="5" t="s">
        <v>1711</v>
      </c>
      <c r="E945" s="5" t="s">
        <v>1710</v>
      </c>
      <c r="F9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45" s="2" t="str">
        <f>IF(Table1[[#This Row],[Type]]="Major",Table1[[#This Row],[Major Group]],G944)</f>
        <v>43-0000</v>
      </c>
      <c r="H945" s="2" t="str">
        <f>IF(Table1[[#This Row],[Major Group]]&lt;&gt;"","n/a",IF(Table1[[#This Row],[Minor Group]]&lt;&gt;"",Table1[[#This Row],[Minor Group]],H944))</f>
        <v>43-9000</v>
      </c>
      <c r="I945" s="2" t="str">
        <f>IF(Table1[[#This Row],[Major Group]]&lt;&gt;"","n/a",IF(Table1[[#This Row],[Minor Group]]&lt;&gt;"","n/a",IF(Table1[[#This Row],[Broad Group]]&lt;&gt;"",Table1[[#This Row],[Broad Group]],I944)))</f>
        <v>43-9060</v>
      </c>
      <c r="J9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Occupation]],J944))))</f>
        <v>43-9061</v>
      </c>
      <c r="K945" s="2" t="str">
        <f>Table1[[#This Row],[Group Name]]</f>
        <v>Office Clerks, General</v>
      </c>
    </row>
    <row r="946" spans="1:11" ht="30" x14ac:dyDescent="0.25">
      <c r="C946" s="1" t="s">
        <v>1712</v>
      </c>
      <c r="E946" s="1" t="s">
        <v>1713</v>
      </c>
      <c r="F9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46" s="2" t="str">
        <f>IF(Table1[[#This Row],[Type]]="Major",Table1[[#This Row],[Major Group]],G945)</f>
        <v>43-0000</v>
      </c>
      <c r="H946" s="2" t="str">
        <f>IF(Table1[[#This Row],[Major Group]]&lt;&gt;"","n/a",IF(Table1[[#This Row],[Minor Group]]&lt;&gt;"",Table1[[#This Row],[Minor Group]],H945))</f>
        <v>43-9000</v>
      </c>
      <c r="I946" s="2" t="str">
        <f>IF(Table1[[#This Row],[Major Group]]&lt;&gt;"","n/a",IF(Table1[[#This Row],[Minor Group]]&lt;&gt;"","n/a",IF(Table1[[#This Row],[Broad Group]]&lt;&gt;"",Table1[[#This Row],[Broad Group]],I945)))</f>
        <v>43-9070</v>
      </c>
      <c r="J9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Occupation]],J945))))</f>
        <v>n/a</v>
      </c>
      <c r="K946" s="2" t="str">
        <f>Table1[[#This Row],[Group Name]]</f>
        <v>Office Machine Operators, Except Computer</v>
      </c>
    </row>
    <row r="947" spans="1:11" ht="25.5" x14ac:dyDescent="0.25">
      <c r="D947" s="5" t="s">
        <v>1714</v>
      </c>
      <c r="E947" s="5" t="s">
        <v>1713</v>
      </c>
      <c r="F9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47" s="2" t="str">
        <f>IF(Table1[[#This Row],[Type]]="Major",Table1[[#This Row],[Major Group]],G946)</f>
        <v>43-0000</v>
      </c>
      <c r="H947" s="2" t="str">
        <f>IF(Table1[[#This Row],[Major Group]]&lt;&gt;"","n/a",IF(Table1[[#This Row],[Minor Group]]&lt;&gt;"",Table1[[#This Row],[Minor Group]],H946))</f>
        <v>43-9000</v>
      </c>
      <c r="I947" s="2" t="str">
        <f>IF(Table1[[#This Row],[Major Group]]&lt;&gt;"","n/a",IF(Table1[[#This Row],[Minor Group]]&lt;&gt;"","n/a",IF(Table1[[#This Row],[Broad Group]]&lt;&gt;"",Table1[[#This Row],[Broad Group]],I946)))</f>
        <v>43-9070</v>
      </c>
      <c r="J9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Occupation]],J946))))</f>
        <v>43-9071</v>
      </c>
      <c r="K947" s="2" t="str">
        <f>Table1[[#This Row],[Group Name]]</f>
        <v>Office Machine Operators, Except Computer</v>
      </c>
    </row>
    <row r="948" spans="1:11" x14ac:dyDescent="0.25">
      <c r="C948" s="1" t="s">
        <v>1715</v>
      </c>
      <c r="E948" s="1" t="s">
        <v>1716</v>
      </c>
      <c r="F9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48" s="2" t="str">
        <f>IF(Table1[[#This Row],[Type]]="Major",Table1[[#This Row],[Major Group]],G947)</f>
        <v>43-0000</v>
      </c>
      <c r="H948" s="2" t="str">
        <f>IF(Table1[[#This Row],[Major Group]]&lt;&gt;"","n/a",IF(Table1[[#This Row],[Minor Group]]&lt;&gt;"",Table1[[#This Row],[Minor Group]],H947))</f>
        <v>43-9000</v>
      </c>
      <c r="I948" s="2" t="str">
        <f>IF(Table1[[#This Row],[Major Group]]&lt;&gt;"","n/a",IF(Table1[[#This Row],[Minor Group]]&lt;&gt;"","n/a",IF(Table1[[#This Row],[Broad Group]]&lt;&gt;"",Table1[[#This Row],[Broad Group]],I947)))</f>
        <v>43-9080</v>
      </c>
      <c r="J9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Occupation]],J947))))</f>
        <v>n/a</v>
      </c>
      <c r="K948" s="2" t="str">
        <f>Table1[[#This Row],[Group Name]]</f>
        <v>Proofreaders and Copy Markers</v>
      </c>
    </row>
    <row r="949" spans="1:11" x14ac:dyDescent="0.25">
      <c r="D949" s="5" t="s">
        <v>1717</v>
      </c>
      <c r="E949" s="5" t="s">
        <v>1716</v>
      </c>
      <c r="F9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49" s="2" t="str">
        <f>IF(Table1[[#This Row],[Type]]="Major",Table1[[#This Row],[Major Group]],G948)</f>
        <v>43-0000</v>
      </c>
      <c r="H949" s="2" t="str">
        <f>IF(Table1[[#This Row],[Major Group]]&lt;&gt;"","n/a",IF(Table1[[#This Row],[Minor Group]]&lt;&gt;"",Table1[[#This Row],[Minor Group]],H948))</f>
        <v>43-9000</v>
      </c>
      <c r="I949" s="2" t="str">
        <f>IF(Table1[[#This Row],[Major Group]]&lt;&gt;"","n/a",IF(Table1[[#This Row],[Minor Group]]&lt;&gt;"","n/a",IF(Table1[[#This Row],[Broad Group]]&lt;&gt;"",Table1[[#This Row],[Broad Group]],I948)))</f>
        <v>43-9080</v>
      </c>
      <c r="J9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Occupation]],J948))))</f>
        <v>43-9081</v>
      </c>
      <c r="K949" s="2" t="str">
        <f>Table1[[#This Row],[Group Name]]</f>
        <v>Proofreaders and Copy Markers</v>
      </c>
    </row>
    <row r="950" spans="1:11" x14ac:dyDescent="0.25">
      <c r="C950" s="1" t="s">
        <v>1718</v>
      </c>
      <c r="E950" s="1" t="s">
        <v>1719</v>
      </c>
      <c r="F9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50" s="2" t="str">
        <f>IF(Table1[[#This Row],[Type]]="Major",Table1[[#This Row],[Major Group]],G949)</f>
        <v>43-0000</v>
      </c>
      <c r="H950" s="2" t="str">
        <f>IF(Table1[[#This Row],[Major Group]]&lt;&gt;"","n/a",IF(Table1[[#This Row],[Minor Group]]&lt;&gt;"",Table1[[#This Row],[Minor Group]],H949))</f>
        <v>43-9000</v>
      </c>
      <c r="I950" s="2" t="str">
        <f>IF(Table1[[#This Row],[Major Group]]&lt;&gt;"","n/a",IF(Table1[[#This Row],[Minor Group]]&lt;&gt;"","n/a",IF(Table1[[#This Row],[Broad Group]]&lt;&gt;"",Table1[[#This Row],[Broad Group]],I949)))</f>
        <v>43-9110</v>
      </c>
      <c r="J9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Occupation]],J949))))</f>
        <v>n/a</v>
      </c>
      <c r="K950" s="2" t="str">
        <f>Table1[[#This Row],[Group Name]]</f>
        <v>Statistical Assistants</v>
      </c>
    </row>
    <row r="951" spans="1:11" x14ac:dyDescent="0.25">
      <c r="D951" s="5" t="s">
        <v>1720</v>
      </c>
      <c r="E951" s="5" t="s">
        <v>1719</v>
      </c>
      <c r="F9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51" s="2" t="str">
        <f>IF(Table1[[#This Row],[Type]]="Major",Table1[[#This Row],[Major Group]],G950)</f>
        <v>43-0000</v>
      </c>
      <c r="H951" s="2" t="str">
        <f>IF(Table1[[#This Row],[Major Group]]&lt;&gt;"","n/a",IF(Table1[[#This Row],[Minor Group]]&lt;&gt;"",Table1[[#This Row],[Minor Group]],H950))</f>
        <v>43-9000</v>
      </c>
      <c r="I951" s="2" t="str">
        <f>IF(Table1[[#This Row],[Major Group]]&lt;&gt;"","n/a",IF(Table1[[#This Row],[Minor Group]]&lt;&gt;"","n/a",IF(Table1[[#This Row],[Broad Group]]&lt;&gt;"",Table1[[#This Row],[Broad Group]],I950)))</f>
        <v>43-9110</v>
      </c>
      <c r="J9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Occupation]],J950))))</f>
        <v>43-9111</v>
      </c>
      <c r="K951" s="2" t="str">
        <f>Table1[[#This Row],[Group Name]]</f>
        <v>Statistical Assistants</v>
      </c>
    </row>
    <row r="952" spans="1:11" ht="30" x14ac:dyDescent="0.25">
      <c r="C952" s="1" t="s">
        <v>1721</v>
      </c>
      <c r="E952" s="1" t="s">
        <v>1722</v>
      </c>
      <c r="F9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52" s="2" t="str">
        <f>IF(Table1[[#This Row],[Type]]="Major",Table1[[#This Row],[Major Group]],G951)</f>
        <v>43-0000</v>
      </c>
      <c r="H952" s="2" t="str">
        <f>IF(Table1[[#This Row],[Major Group]]&lt;&gt;"","n/a",IF(Table1[[#This Row],[Minor Group]]&lt;&gt;"",Table1[[#This Row],[Minor Group]],H951))</f>
        <v>43-9000</v>
      </c>
      <c r="I952" s="2" t="str">
        <f>IF(Table1[[#This Row],[Major Group]]&lt;&gt;"","n/a",IF(Table1[[#This Row],[Minor Group]]&lt;&gt;"","n/a",IF(Table1[[#This Row],[Broad Group]]&lt;&gt;"",Table1[[#This Row],[Broad Group]],I951)))</f>
        <v>43-9190</v>
      </c>
      <c r="J9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Occupation]],J951))))</f>
        <v>n/a</v>
      </c>
      <c r="K952" s="2" t="str">
        <f>Table1[[#This Row],[Group Name]]</f>
        <v>Miscellaneous Office and Administrative Support Workers</v>
      </c>
    </row>
    <row r="953" spans="1:11" ht="25.5" x14ac:dyDescent="0.25">
      <c r="D953" s="5" t="s">
        <v>1723</v>
      </c>
      <c r="E953" s="5" t="s">
        <v>1724</v>
      </c>
      <c r="F9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53" s="2" t="str">
        <f>IF(Table1[[#This Row],[Type]]="Major",Table1[[#This Row],[Major Group]],G952)</f>
        <v>43-0000</v>
      </c>
      <c r="H953" s="2" t="str">
        <f>IF(Table1[[#This Row],[Major Group]]&lt;&gt;"","n/a",IF(Table1[[#This Row],[Minor Group]]&lt;&gt;"",Table1[[#This Row],[Minor Group]],H952))</f>
        <v>43-9000</v>
      </c>
      <c r="I953" s="2" t="str">
        <f>IF(Table1[[#This Row],[Major Group]]&lt;&gt;"","n/a",IF(Table1[[#This Row],[Minor Group]]&lt;&gt;"","n/a",IF(Table1[[#This Row],[Broad Group]]&lt;&gt;"",Table1[[#This Row],[Broad Group]],I952)))</f>
        <v>43-9190</v>
      </c>
      <c r="J9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Occupation]],J952))))</f>
        <v>43-9199</v>
      </c>
      <c r="K953" s="2" t="str">
        <f>Table1[[#This Row],[Group Name]]</f>
        <v>Office and Administrative Support Workers, All Other</v>
      </c>
    </row>
    <row r="954" spans="1:11" ht="15.75" x14ac:dyDescent="0.25">
      <c r="A954" s="4" t="s">
        <v>1725</v>
      </c>
      <c r="E954" s="4" t="s">
        <v>1726</v>
      </c>
      <c r="F9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954" s="2" t="str">
        <f>IF(Table1[[#This Row],[Type]]="Major",Table1[[#This Row],[Major Group]],G953)</f>
        <v>45-0000</v>
      </c>
      <c r="H954" s="2" t="str">
        <f>IF(Table1[[#This Row],[Major Group]]&lt;&gt;"","n/a",IF(Table1[[#This Row],[Minor Group]]&lt;&gt;"",Table1[[#This Row],[Minor Group]],H953))</f>
        <v>n/a</v>
      </c>
      <c r="I954" s="2" t="str">
        <f>IF(Table1[[#This Row],[Major Group]]&lt;&gt;"","n/a",IF(Table1[[#This Row],[Minor Group]]&lt;&gt;"","n/a",IF(Table1[[#This Row],[Broad Group]]&lt;&gt;"",Table1[[#This Row],[Broad Group]],I953)))</f>
        <v>n/a</v>
      </c>
      <c r="J9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Occupation]],J953))))</f>
        <v>n/a</v>
      </c>
      <c r="K954" s="2" t="str">
        <f>Table1[[#This Row],[Group Name]]</f>
        <v>Farming, Fishing, and Forestry Occupations</v>
      </c>
    </row>
    <row r="955" spans="1:11" x14ac:dyDescent="0.25">
      <c r="B955" s="3" t="s">
        <v>1727</v>
      </c>
      <c r="E955" s="3" t="s">
        <v>1728</v>
      </c>
      <c r="F9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55" s="2" t="str">
        <f>IF(Table1[[#This Row],[Type]]="Major",Table1[[#This Row],[Major Group]],G954)</f>
        <v>45-0000</v>
      </c>
      <c r="H955" s="2" t="str">
        <f>IF(Table1[[#This Row],[Major Group]]&lt;&gt;"","n/a",IF(Table1[[#This Row],[Minor Group]]&lt;&gt;"",Table1[[#This Row],[Minor Group]],H954))</f>
        <v>45-1000</v>
      </c>
      <c r="I955" s="2" t="str">
        <f>IF(Table1[[#This Row],[Major Group]]&lt;&gt;"","n/a",IF(Table1[[#This Row],[Minor Group]]&lt;&gt;"","n/a",IF(Table1[[#This Row],[Broad Group]]&lt;&gt;"",Table1[[#This Row],[Broad Group]],I954)))</f>
        <v>n/a</v>
      </c>
      <c r="J9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Occupation]],J954))))</f>
        <v>n/a</v>
      </c>
      <c r="K955" s="2" t="str">
        <f>Table1[[#This Row],[Group Name]]</f>
        <v>Supervisors of Farming, Fishing, and Forestry Workers</v>
      </c>
    </row>
    <row r="956" spans="1:11" ht="30" x14ac:dyDescent="0.25">
      <c r="C956" s="1" t="s">
        <v>1729</v>
      </c>
      <c r="E956" s="1" t="s">
        <v>1730</v>
      </c>
      <c r="F9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56" s="2" t="str">
        <f>IF(Table1[[#This Row],[Type]]="Major",Table1[[#This Row],[Major Group]],G955)</f>
        <v>45-0000</v>
      </c>
      <c r="H956" s="2" t="str">
        <f>IF(Table1[[#This Row],[Major Group]]&lt;&gt;"","n/a",IF(Table1[[#This Row],[Minor Group]]&lt;&gt;"",Table1[[#This Row],[Minor Group]],H955))</f>
        <v>45-1000</v>
      </c>
      <c r="I956" s="2" t="str">
        <f>IF(Table1[[#This Row],[Major Group]]&lt;&gt;"","n/a",IF(Table1[[#This Row],[Minor Group]]&lt;&gt;"","n/a",IF(Table1[[#This Row],[Broad Group]]&lt;&gt;"",Table1[[#This Row],[Broad Group]],I955)))</f>
        <v>45-1010</v>
      </c>
      <c r="J9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Occupation]],J955))))</f>
        <v>n/a</v>
      </c>
      <c r="K956" s="2" t="str">
        <f>Table1[[#This Row],[Group Name]]</f>
        <v>First-Line Supervisors of Farming, Fishing, and Forestry Workers</v>
      </c>
    </row>
    <row r="957" spans="1:11" ht="25.5" x14ac:dyDescent="0.25">
      <c r="D957" s="5" t="s">
        <v>1731</v>
      </c>
      <c r="E957" s="5" t="s">
        <v>1730</v>
      </c>
      <c r="F9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57" s="2" t="str">
        <f>IF(Table1[[#This Row],[Type]]="Major",Table1[[#This Row],[Major Group]],G956)</f>
        <v>45-0000</v>
      </c>
      <c r="H957" s="2" t="str">
        <f>IF(Table1[[#This Row],[Major Group]]&lt;&gt;"","n/a",IF(Table1[[#This Row],[Minor Group]]&lt;&gt;"",Table1[[#This Row],[Minor Group]],H956))</f>
        <v>45-1000</v>
      </c>
      <c r="I957" s="2" t="str">
        <f>IF(Table1[[#This Row],[Major Group]]&lt;&gt;"","n/a",IF(Table1[[#This Row],[Minor Group]]&lt;&gt;"","n/a",IF(Table1[[#This Row],[Broad Group]]&lt;&gt;"",Table1[[#This Row],[Broad Group]],I956)))</f>
        <v>45-1010</v>
      </c>
      <c r="J9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Occupation]],J956))))</f>
        <v>45-1011</v>
      </c>
      <c r="K957" s="2" t="str">
        <f>Table1[[#This Row],[Group Name]]</f>
        <v>First-Line Supervisors of Farming, Fishing, and Forestry Workers</v>
      </c>
    </row>
    <row r="958" spans="1:11" x14ac:dyDescent="0.25">
      <c r="B958" s="3" t="s">
        <v>1732</v>
      </c>
      <c r="E958" s="3" t="s">
        <v>1733</v>
      </c>
      <c r="F9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58" s="2" t="str">
        <f>IF(Table1[[#This Row],[Type]]="Major",Table1[[#This Row],[Major Group]],G957)</f>
        <v>45-0000</v>
      </c>
      <c r="H958" s="2" t="str">
        <f>IF(Table1[[#This Row],[Major Group]]&lt;&gt;"","n/a",IF(Table1[[#This Row],[Minor Group]]&lt;&gt;"",Table1[[#This Row],[Minor Group]],H957))</f>
        <v>45-2000</v>
      </c>
      <c r="I958" s="2" t="str">
        <f>IF(Table1[[#This Row],[Major Group]]&lt;&gt;"","n/a",IF(Table1[[#This Row],[Minor Group]]&lt;&gt;"","n/a",IF(Table1[[#This Row],[Broad Group]]&lt;&gt;"",Table1[[#This Row],[Broad Group]],I957)))</f>
        <v>n/a</v>
      </c>
      <c r="J9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Occupation]],J957))))</f>
        <v>n/a</v>
      </c>
      <c r="K958" s="2" t="str">
        <f>Table1[[#This Row],[Group Name]]</f>
        <v>Agricultural Workers</v>
      </c>
    </row>
    <row r="959" spans="1:11" x14ac:dyDescent="0.25">
      <c r="C959" s="1" t="s">
        <v>1734</v>
      </c>
      <c r="E959" s="1" t="s">
        <v>1735</v>
      </c>
      <c r="F9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59" s="2" t="str">
        <f>IF(Table1[[#This Row],[Type]]="Major",Table1[[#This Row],[Major Group]],G958)</f>
        <v>45-0000</v>
      </c>
      <c r="H959" s="2" t="str">
        <f>IF(Table1[[#This Row],[Major Group]]&lt;&gt;"","n/a",IF(Table1[[#This Row],[Minor Group]]&lt;&gt;"",Table1[[#This Row],[Minor Group]],H958))</f>
        <v>45-2000</v>
      </c>
      <c r="I959" s="2" t="str">
        <f>IF(Table1[[#This Row],[Major Group]]&lt;&gt;"","n/a",IF(Table1[[#This Row],[Minor Group]]&lt;&gt;"","n/a",IF(Table1[[#This Row],[Broad Group]]&lt;&gt;"",Table1[[#This Row],[Broad Group]],I958)))</f>
        <v>45-2010</v>
      </c>
      <c r="J9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Occupation]],J958))))</f>
        <v>n/a</v>
      </c>
      <c r="K959" s="2" t="str">
        <f>Table1[[#This Row],[Group Name]]</f>
        <v>Agricultural Inspectors</v>
      </c>
    </row>
    <row r="960" spans="1:11" x14ac:dyDescent="0.25">
      <c r="D960" s="5" t="s">
        <v>1736</v>
      </c>
      <c r="E960" s="5" t="s">
        <v>1735</v>
      </c>
      <c r="F9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0" s="2" t="str">
        <f>IF(Table1[[#This Row],[Type]]="Major",Table1[[#This Row],[Major Group]],G959)</f>
        <v>45-0000</v>
      </c>
      <c r="H960" s="2" t="str">
        <f>IF(Table1[[#This Row],[Major Group]]&lt;&gt;"","n/a",IF(Table1[[#This Row],[Minor Group]]&lt;&gt;"",Table1[[#This Row],[Minor Group]],H959))</f>
        <v>45-2000</v>
      </c>
      <c r="I960" s="2" t="str">
        <f>IF(Table1[[#This Row],[Major Group]]&lt;&gt;"","n/a",IF(Table1[[#This Row],[Minor Group]]&lt;&gt;"","n/a",IF(Table1[[#This Row],[Broad Group]]&lt;&gt;"",Table1[[#This Row],[Broad Group]],I959)))</f>
        <v>45-2010</v>
      </c>
      <c r="J9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Occupation]],J959))))</f>
        <v>45-2011</v>
      </c>
      <c r="K960" s="2" t="str">
        <f>Table1[[#This Row],[Group Name]]</f>
        <v>Agricultural Inspectors</v>
      </c>
    </row>
    <row r="961" spans="2:11" x14ac:dyDescent="0.25">
      <c r="C961" s="1" t="s">
        <v>1737</v>
      </c>
      <c r="E961" s="1" t="s">
        <v>1738</v>
      </c>
      <c r="F9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61" s="2" t="str">
        <f>IF(Table1[[#This Row],[Type]]="Major",Table1[[#This Row],[Major Group]],G960)</f>
        <v>45-0000</v>
      </c>
      <c r="H961" s="2" t="str">
        <f>IF(Table1[[#This Row],[Major Group]]&lt;&gt;"","n/a",IF(Table1[[#This Row],[Minor Group]]&lt;&gt;"",Table1[[#This Row],[Minor Group]],H960))</f>
        <v>45-2000</v>
      </c>
      <c r="I961" s="2" t="str">
        <f>IF(Table1[[#This Row],[Major Group]]&lt;&gt;"","n/a",IF(Table1[[#This Row],[Minor Group]]&lt;&gt;"","n/a",IF(Table1[[#This Row],[Broad Group]]&lt;&gt;"",Table1[[#This Row],[Broad Group]],I960)))</f>
        <v>45-2020</v>
      </c>
      <c r="J9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Occupation]],J960))))</f>
        <v>n/a</v>
      </c>
      <c r="K961" s="2" t="str">
        <f>Table1[[#This Row],[Group Name]]</f>
        <v>Animal Breeders</v>
      </c>
    </row>
    <row r="962" spans="2:11" x14ac:dyDescent="0.25">
      <c r="D962" s="5" t="s">
        <v>1739</v>
      </c>
      <c r="E962" s="5" t="s">
        <v>1738</v>
      </c>
      <c r="F9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2" s="2" t="str">
        <f>IF(Table1[[#This Row],[Type]]="Major",Table1[[#This Row],[Major Group]],G961)</f>
        <v>45-0000</v>
      </c>
      <c r="H962" s="2" t="str">
        <f>IF(Table1[[#This Row],[Major Group]]&lt;&gt;"","n/a",IF(Table1[[#This Row],[Minor Group]]&lt;&gt;"",Table1[[#This Row],[Minor Group]],H961))</f>
        <v>45-2000</v>
      </c>
      <c r="I962" s="2" t="str">
        <f>IF(Table1[[#This Row],[Major Group]]&lt;&gt;"","n/a",IF(Table1[[#This Row],[Minor Group]]&lt;&gt;"","n/a",IF(Table1[[#This Row],[Broad Group]]&lt;&gt;"",Table1[[#This Row],[Broad Group]],I961)))</f>
        <v>45-2020</v>
      </c>
      <c r="J9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Occupation]],J961))))</f>
        <v>45-2021</v>
      </c>
      <c r="K962" s="2" t="str">
        <f>Table1[[#This Row],[Group Name]]</f>
        <v>Animal Breeders</v>
      </c>
    </row>
    <row r="963" spans="2:11" ht="30" x14ac:dyDescent="0.25">
      <c r="C963" s="1" t="s">
        <v>1740</v>
      </c>
      <c r="E963" s="1" t="s">
        <v>1741</v>
      </c>
      <c r="F9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63" s="2" t="str">
        <f>IF(Table1[[#This Row],[Type]]="Major",Table1[[#This Row],[Major Group]],G962)</f>
        <v>45-0000</v>
      </c>
      <c r="H963" s="2" t="str">
        <f>IF(Table1[[#This Row],[Major Group]]&lt;&gt;"","n/a",IF(Table1[[#This Row],[Minor Group]]&lt;&gt;"",Table1[[#This Row],[Minor Group]],H962))</f>
        <v>45-2000</v>
      </c>
      <c r="I963" s="2" t="str">
        <f>IF(Table1[[#This Row],[Major Group]]&lt;&gt;"","n/a",IF(Table1[[#This Row],[Minor Group]]&lt;&gt;"","n/a",IF(Table1[[#This Row],[Broad Group]]&lt;&gt;"",Table1[[#This Row],[Broad Group]],I962)))</f>
        <v>45-2040</v>
      </c>
      <c r="J9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Occupation]],J962))))</f>
        <v>n/a</v>
      </c>
      <c r="K963" s="2" t="str">
        <f>Table1[[#This Row],[Group Name]]</f>
        <v>Graders and Sorters, Agricultural Products</v>
      </c>
    </row>
    <row r="964" spans="2:11" ht="25.5" x14ac:dyDescent="0.25">
      <c r="D964" s="5" t="s">
        <v>1742</v>
      </c>
      <c r="E964" s="5" t="s">
        <v>1741</v>
      </c>
      <c r="F9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4" s="2" t="str">
        <f>IF(Table1[[#This Row],[Type]]="Major",Table1[[#This Row],[Major Group]],G963)</f>
        <v>45-0000</v>
      </c>
      <c r="H964" s="2" t="str">
        <f>IF(Table1[[#This Row],[Major Group]]&lt;&gt;"","n/a",IF(Table1[[#This Row],[Minor Group]]&lt;&gt;"",Table1[[#This Row],[Minor Group]],H963))</f>
        <v>45-2000</v>
      </c>
      <c r="I964" s="2" t="str">
        <f>IF(Table1[[#This Row],[Major Group]]&lt;&gt;"","n/a",IF(Table1[[#This Row],[Minor Group]]&lt;&gt;"","n/a",IF(Table1[[#This Row],[Broad Group]]&lt;&gt;"",Table1[[#This Row],[Broad Group]],I963)))</f>
        <v>45-2040</v>
      </c>
      <c r="J9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Occupation]],J963))))</f>
        <v>45-2041</v>
      </c>
      <c r="K964" s="2" t="str">
        <f>Table1[[#This Row],[Group Name]]</f>
        <v>Graders and Sorters, Agricultural Products</v>
      </c>
    </row>
    <row r="965" spans="2:11" ht="30" x14ac:dyDescent="0.25">
      <c r="C965" s="1" t="s">
        <v>1743</v>
      </c>
      <c r="E965" s="1" t="s">
        <v>1744</v>
      </c>
      <c r="F9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65" s="2" t="str">
        <f>IF(Table1[[#This Row],[Type]]="Major",Table1[[#This Row],[Major Group]],G964)</f>
        <v>45-0000</v>
      </c>
      <c r="H965" s="2" t="str">
        <f>IF(Table1[[#This Row],[Major Group]]&lt;&gt;"","n/a",IF(Table1[[#This Row],[Minor Group]]&lt;&gt;"",Table1[[#This Row],[Minor Group]],H964))</f>
        <v>45-2000</v>
      </c>
      <c r="I965" s="2" t="str">
        <f>IF(Table1[[#This Row],[Major Group]]&lt;&gt;"","n/a",IF(Table1[[#This Row],[Minor Group]]&lt;&gt;"","n/a",IF(Table1[[#This Row],[Broad Group]]&lt;&gt;"",Table1[[#This Row],[Broad Group]],I964)))</f>
        <v>45-2090</v>
      </c>
      <c r="J9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Occupation]],J964))))</f>
        <v>n/a</v>
      </c>
      <c r="K965" s="2" t="str">
        <f>Table1[[#This Row],[Group Name]]</f>
        <v>Miscellaneous Agricultural Workers</v>
      </c>
    </row>
    <row r="966" spans="2:11" x14ac:dyDescent="0.25">
      <c r="D966" s="5" t="s">
        <v>1745</v>
      </c>
      <c r="E966" s="5" t="s">
        <v>1746</v>
      </c>
      <c r="F9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6" s="2" t="str">
        <f>IF(Table1[[#This Row],[Type]]="Major",Table1[[#This Row],[Major Group]],G965)</f>
        <v>45-0000</v>
      </c>
      <c r="H966" s="2" t="str">
        <f>IF(Table1[[#This Row],[Major Group]]&lt;&gt;"","n/a",IF(Table1[[#This Row],[Minor Group]]&lt;&gt;"",Table1[[#This Row],[Minor Group]],H965))</f>
        <v>45-2000</v>
      </c>
      <c r="I966" s="2" t="str">
        <f>IF(Table1[[#This Row],[Major Group]]&lt;&gt;"","n/a",IF(Table1[[#This Row],[Minor Group]]&lt;&gt;"","n/a",IF(Table1[[#This Row],[Broad Group]]&lt;&gt;"",Table1[[#This Row],[Broad Group]],I965)))</f>
        <v>45-2090</v>
      </c>
      <c r="J9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Occupation]],J965))))</f>
        <v>45-2091</v>
      </c>
      <c r="K966" s="2" t="str">
        <f>Table1[[#This Row],[Group Name]]</f>
        <v>Agricultural Equipment Operators</v>
      </c>
    </row>
    <row r="967" spans="2:11" ht="25.5" x14ac:dyDescent="0.25">
      <c r="D967" s="5" t="s">
        <v>1747</v>
      </c>
      <c r="E967" s="5" t="s">
        <v>1748</v>
      </c>
      <c r="F9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7" s="2" t="str">
        <f>IF(Table1[[#This Row],[Type]]="Major",Table1[[#This Row],[Major Group]],G966)</f>
        <v>45-0000</v>
      </c>
      <c r="H967" s="2" t="str">
        <f>IF(Table1[[#This Row],[Major Group]]&lt;&gt;"","n/a",IF(Table1[[#This Row],[Minor Group]]&lt;&gt;"",Table1[[#This Row],[Minor Group]],H966))</f>
        <v>45-2000</v>
      </c>
      <c r="I967" s="2" t="str">
        <f>IF(Table1[[#This Row],[Major Group]]&lt;&gt;"","n/a",IF(Table1[[#This Row],[Minor Group]]&lt;&gt;"","n/a",IF(Table1[[#This Row],[Broad Group]]&lt;&gt;"",Table1[[#This Row],[Broad Group]],I966)))</f>
        <v>45-2090</v>
      </c>
      <c r="J9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Occupation]],J966))))</f>
        <v>45-2092</v>
      </c>
      <c r="K967" s="2" t="str">
        <f>Table1[[#This Row],[Group Name]]</f>
        <v>Farmworkers and Laborers, Crop, Nursery, and Greenhouse</v>
      </c>
    </row>
    <row r="968" spans="2:11" ht="25.5" x14ac:dyDescent="0.25">
      <c r="D968" s="5" t="s">
        <v>1749</v>
      </c>
      <c r="E968" s="5" t="s">
        <v>1750</v>
      </c>
      <c r="F9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8" s="2" t="str">
        <f>IF(Table1[[#This Row],[Type]]="Major",Table1[[#This Row],[Major Group]],G967)</f>
        <v>45-0000</v>
      </c>
      <c r="H968" s="2" t="str">
        <f>IF(Table1[[#This Row],[Major Group]]&lt;&gt;"","n/a",IF(Table1[[#This Row],[Minor Group]]&lt;&gt;"",Table1[[#This Row],[Minor Group]],H967))</f>
        <v>45-2000</v>
      </c>
      <c r="I968" s="2" t="str">
        <f>IF(Table1[[#This Row],[Major Group]]&lt;&gt;"","n/a",IF(Table1[[#This Row],[Minor Group]]&lt;&gt;"","n/a",IF(Table1[[#This Row],[Broad Group]]&lt;&gt;"",Table1[[#This Row],[Broad Group]],I967)))</f>
        <v>45-2090</v>
      </c>
      <c r="J9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Occupation]],J967))))</f>
        <v>45-2093</v>
      </c>
      <c r="K968" s="2" t="str">
        <f>Table1[[#This Row],[Group Name]]</f>
        <v>Farmworkers, Farm, Ranch, and Aquacultural Animals</v>
      </c>
    </row>
    <row r="969" spans="2:11" x14ac:dyDescent="0.25">
      <c r="D969" s="5" t="s">
        <v>1751</v>
      </c>
      <c r="E969" s="5" t="s">
        <v>1752</v>
      </c>
      <c r="F9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69" s="2" t="str">
        <f>IF(Table1[[#This Row],[Type]]="Major",Table1[[#This Row],[Major Group]],G968)</f>
        <v>45-0000</v>
      </c>
      <c r="H969" s="2" t="str">
        <f>IF(Table1[[#This Row],[Major Group]]&lt;&gt;"","n/a",IF(Table1[[#This Row],[Minor Group]]&lt;&gt;"",Table1[[#This Row],[Minor Group]],H968))</f>
        <v>45-2000</v>
      </c>
      <c r="I969" s="2" t="str">
        <f>IF(Table1[[#This Row],[Major Group]]&lt;&gt;"","n/a",IF(Table1[[#This Row],[Minor Group]]&lt;&gt;"","n/a",IF(Table1[[#This Row],[Broad Group]]&lt;&gt;"",Table1[[#This Row],[Broad Group]],I968)))</f>
        <v>45-2090</v>
      </c>
      <c r="J9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Occupation]],J968))))</f>
        <v>45-2099</v>
      </c>
      <c r="K969" s="2" t="str">
        <f>Table1[[#This Row],[Group Name]]</f>
        <v>Agricultural Workers, All Other</v>
      </c>
    </row>
    <row r="970" spans="2:11" x14ac:dyDescent="0.25">
      <c r="B970" s="3" t="s">
        <v>1753</v>
      </c>
      <c r="E970" s="3" t="s">
        <v>1754</v>
      </c>
      <c r="F9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70" s="2" t="str">
        <f>IF(Table1[[#This Row],[Type]]="Major",Table1[[#This Row],[Major Group]],G969)</f>
        <v>45-0000</v>
      </c>
      <c r="H970" s="2" t="str">
        <f>IF(Table1[[#This Row],[Major Group]]&lt;&gt;"","n/a",IF(Table1[[#This Row],[Minor Group]]&lt;&gt;"",Table1[[#This Row],[Minor Group]],H969))</f>
        <v>45-3000</v>
      </c>
      <c r="I970" s="2" t="str">
        <f>IF(Table1[[#This Row],[Major Group]]&lt;&gt;"","n/a",IF(Table1[[#This Row],[Minor Group]]&lt;&gt;"","n/a",IF(Table1[[#This Row],[Broad Group]]&lt;&gt;"",Table1[[#This Row],[Broad Group]],I969)))</f>
        <v>n/a</v>
      </c>
      <c r="J9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Occupation]],J969))))</f>
        <v>n/a</v>
      </c>
      <c r="K970" s="2" t="str">
        <f>Table1[[#This Row],[Group Name]]</f>
        <v>Fishing and Hunting Workers</v>
      </c>
    </row>
    <row r="971" spans="2:11" x14ac:dyDescent="0.25">
      <c r="C971" s="1" t="s">
        <v>1755</v>
      </c>
      <c r="E971" s="1" t="s">
        <v>1754</v>
      </c>
      <c r="F9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71" s="2" t="str">
        <f>IF(Table1[[#This Row],[Type]]="Major",Table1[[#This Row],[Major Group]],G970)</f>
        <v>45-0000</v>
      </c>
      <c r="H971" s="2" t="str">
        <f>IF(Table1[[#This Row],[Major Group]]&lt;&gt;"","n/a",IF(Table1[[#This Row],[Minor Group]]&lt;&gt;"",Table1[[#This Row],[Minor Group]],H970))</f>
        <v>45-3000</v>
      </c>
      <c r="I971" s="2" t="str">
        <f>IF(Table1[[#This Row],[Major Group]]&lt;&gt;"","n/a",IF(Table1[[#This Row],[Minor Group]]&lt;&gt;"","n/a",IF(Table1[[#This Row],[Broad Group]]&lt;&gt;"",Table1[[#This Row],[Broad Group]],I970)))</f>
        <v>45-3030</v>
      </c>
      <c r="J9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Occupation]],J970))))</f>
        <v>n/a</v>
      </c>
      <c r="K971" s="2" t="str">
        <f>Table1[[#This Row],[Group Name]]</f>
        <v>Fishing and Hunting Workers</v>
      </c>
    </row>
    <row r="972" spans="2:11" x14ac:dyDescent="0.25">
      <c r="D972" s="5" t="s">
        <v>1756</v>
      </c>
      <c r="E972" s="5" t="s">
        <v>1754</v>
      </c>
      <c r="F9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72" s="2" t="str">
        <f>IF(Table1[[#This Row],[Type]]="Major",Table1[[#This Row],[Major Group]],G971)</f>
        <v>45-0000</v>
      </c>
      <c r="H972" s="2" t="str">
        <f>IF(Table1[[#This Row],[Major Group]]&lt;&gt;"","n/a",IF(Table1[[#This Row],[Minor Group]]&lt;&gt;"",Table1[[#This Row],[Minor Group]],H971))</f>
        <v>45-3000</v>
      </c>
      <c r="I972" s="2" t="str">
        <f>IF(Table1[[#This Row],[Major Group]]&lt;&gt;"","n/a",IF(Table1[[#This Row],[Minor Group]]&lt;&gt;"","n/a",IF(Table1[[#This Row],[Broad Group]]&lt;&gt;"",Table1[[#This Row],[Broad Group]],I971)))</f>
        <v>45-3030</v>
      </c>
      <c r="J9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Occupation]],J971))))</f>
        <v>45-3031</v>
      </c>
      <c r="K972" s="2" t="str">
        <f>Table1[[#This Row],[Group Name]]</f>
        <v>Fishing and Hunting Workers</v>
      </c>
    </row>
    <row r="973" spans="2:11" x14ac:dyDescent="0.25">
      <c r="B973" s="3" t="s">
        <v>1757</v>
      </c>
      <c r="E973" s="3" t="s">
        <v>1758</v>
      </c>
      <c r="F9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73" s="2" t="str">
        <f>IF(Table1[[#This Row],[Type]]="Major",Table1[[#This Row],[Major Group]],G972)</f>
        <v>45-0000</v>
      </c>
      <c r="H973" s="2" t="str">
        <f>IF(Table1[[#This Row],[Major Group]]&lt;&gt;"","n/a",IF(Table1[[#This Row],[Minor Group]]&lt;&gt;"",Table1[[#This Row],[Minor Group]],H972))</f>
        <v>45-4000</v>
      </c>
      <c r="I973" s="2" t="str">
        <f>IF(Table1[[#This Row],[Major Group]]&lt;&gt;"","n/a",IF(Table1[[#This Row],[Minor Group]]&lt;&gt;"","n/a",IF(Table1[[#This Row],[Broad Group]]&lt;&gt;"",Table1[[#This Row],[Broad Group]],I972)))</f>
        <v>n/a</v>
      </c>
      <c r="J9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Occupation]],J972))))</f>
        <v>n/a</v>
      </c>
      <c r="K973" s="2" t="str">
        <f>Table1[[#This Row],[Group Name]]</f>
        <v>Forest, Conservation, and Logging Workers</v>
      </c>
    </row>
    <row r="974" spans="2:11" x14ac:dyDescent="0.25">
      <c r="C974" s="1" t="s">
        <v>1759</v>
      </c>
      <c r="E974" s="1" t="s">
        <v>1760</v>
      </c>
      <c r="F9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74" s="2" t="str">
        <f>IF(Table1[[#This Row],[Type]]="Major",Table1[[#This Row],[Major Group]],G973)</f>
        <v>45-0000</v>
      </c>
      <c r="H974" s="2" t="str">
        <f>IF(Table1[[#This Row],[Major Group]]&lt;&gt;"","n/a",IF(Table1[[#This Row],[Minor Group]]&lt;&gt;"",Table1[[#This Row],[Minor Group]],H973))</f>
        <v>45-4000</v>
      </c>
      <c r="I974" s="2" t="str">
        <f>IF(Table1[[#This Row],[Major Group]]&lt;&gt;"","n/a",IF(Table1[[#This Row],[Minor Group]]&lt;&gt;"","n/a",IF(Table1[[#This Row],[Broad Group]]&lt;&gt;"",Table1[[#This Row],[Broad Group]],I973)))</f>
        <v>45-4010</v>
      </c>
      <c r="J9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Occupation]],J973))))</f>
        <v>n/a</v>
      </c>
      <c r="K974" s="2" t="str">
        <f>Table1[[#This Row],[Group Name]]</f>
        <v>Forest and Conservation Workers</v>
      </c>
    </row>
    <row r="975" spans="2:11" x14ac:dyDescent="0.25">
      <c r="D975" s="5" t="s">
        <v>1761</v>
      </c>
      <c r="E975" s="5" t="s">
        <v>1760</v>
      </c>
      <c r="F9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75" s="2" t="str">
        <f>IF(Table1[[#This Row],[Type]]="Major",Table1[[#This Row],[Major Group]],G974)</f>
        <v>45-0000</v>
      </c>
      <c r="H975" s="2" t="str">
        <f>IF(Table1[[#This Row],[Major Group]]&lt;&gt;"","n/a",IF(Table1[[#This Row],[Minor Group]]&lt;&gt;"",Table1[[#This Row],[Minor Group]],H974))</f>
        <v>45-4000</v>
      </c>
      <c r="I975" s="2" t="str">
        <f>IF(Table1[[#This Row],[Major Group]]&lt;&gt;"","n/a",IF(Table1[[#This Row],[Minor Group]]&lt;&gt;"","n/a",IF(Table1[[#This Row],[Broad Group]]&lt;&gt;"",Table1[[#This Row],[Broad Group]],I974)))</f>
        <v>45-4010</v>
      </c>
      <c r="J9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Occupation]],J974))))</f>
        <v>45-4011</v>
      </c>
      <c r="K975" s="2" t="str">
        <f>Table1[[#This Row],[Group Name]]</f>
        <v>Forest and Conservation Workers</v>
      </c>
    </row>
    <row r="976" spans="2:11" x14ac:dyDescent="0.25">
      <c r="C976" s="1" t="s">
        <v>1762</v>
      </c>
      <c r="E976" s="1" t="s">
        <v>1763</v>
      </c>
      <c r="F9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76" s="2" t="str">
        <f>IF(Table1[[#This Row],[Type]]="Major",Table1[[#This Row],[Major Group]],G975)</f>
        <v>45-0000</v>
      </c>
      <c r="H976" s="2" t="str">
        <f>IF(Table1[[#This Row],[Major Group]]&lt;&gt;"","n/a",IF(Table1[[#This Row],[Minor Group]]&lt;&gt;"",Table1[[#This Row],[Minor Group]],H975))</f>
        <v>45-4000</v>
      </c>
      <c r="I976" s="2" t="str">
        <f>IF(Table1[[#This Row],[Major Group]]&lt;&gt;"","n/a",IF(Table1[[#This Row],[Minor Group]]&lt;&gt;"","n/a",IF(Table1[[#This Row],[Broad Group]]&lt;&gt;"",Table1[[#This Row],[Broad Group]],I975)))</f>
        <v>45-4020</v>
      </c>
      <c r="J9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Occupation]],J975))))</f>
        <v>n/a</v>
      </c>
      <c r="K976" s="2" t="str">
        <f>Table1[[#This Row],[Group Name]]</f>
        <v>Logging Workers</v>
      </c>
    </row>
    <row r="977" spans="1:11" x14ac:dyDescent="0.25">
      <c r="D977" s="5" t="s">
        <v>1764</v>
      </c>
      <c r="E977" s="5" t="s">
        <v>1765</v>
      </c>
      <c r="F9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77" s="2" t="str">
        <f>IF(Table1[[#This Row],[Type]]="Major",Table1[[#This Row],[Major Group]],G976)</f>
        <v>45-0000</v>
      </c>
      <c r="H977" s="2" t="str">
        <f>IF(Table1[[#This Row],[Major Group]]&lt;&gt;"","n/a",IF(Table1[[#This Row],[Minor Group]]&lt;&gt;"",Table1[[#This Row],[Minor Group]],H976))</f>
        <v>45-4000</v>
      </c>
      <c r="I977" s="2" t="str">
        <f>IF(Table1[[#This Row],[Major Group]]&lt;&gt;"","n/a",IF(Table1[[#This Row],[Minor Group]]&lt;&gt;"","n/a",IF(Table1[[#This Row],[Broad Group]]&lt;&gt;"",Table1[[#This Row],[Broad Group]],I976)))</f>
        <v>45-4020</v>
      </c>
      <c r="J9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Occupation]],J976))))</f>
        <v>45-4021</v>
      </c>
      <c r="K977" s="2" t="str">
        <f>Table1[[#This Row],[Group Name]]</f>
        <v>Fallers</v>
      </c>
    </row>
    <row r="978" spans="1:11" x14ac:dyDescent="0.25">
      <c r="D978" s="5" t="s">
        <v>1766</v>
      </c>
      <c r="E978" s="5" t="s">
        <v>1767</v>
      </c>
      <c r="F9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78" s="2" t="str">
        <f>IF(Table1[[#This Row],[Type]]="Major",Table1[[#This Row],[Major Group]],G977)</f>
        <v>45-0000</v>
      </c>
      <c r="H978" s="2" t="str">
        <f>IF(Table1[[#This Row],[Major Group]]&lt;&gt;"","n/a",IF(Table1[[#This Row],[Minor Group]]&lt;&gt;"",Table1[[#This Row],[Minor Group]],H977))</f>
        <v>45-4000</v>
      </c>
      <c r="I978" s="2" t="str">
        <f>IF(Table1[[#This Row],[Major Group]]&lt;&gt;"","n/a",IF(Table1[[#This Row],[Minor Group]]&lt;&gt;"","n/a",IF(Table1[[#This Row],[Broad Group]]&lt;&gt;"",Table1[[#This Row],[Broad Group]],I977)))</f>
        <v>45-4020</v>
      </c>
      <c r="J9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Occupation]],J977))))</f>
        <v>45-4022</v>
      </c>
      <c r="K978" s="2" t="str">
        <f>Table1[[#This Row],[Group Name]]</f>
        <v>Logging Equipment Operators</v>
      </c>
    </row>
    <row r="979" spans="1:11" x14ac:dyDescent="0.25">
      <c r="D979" s="5" t="s">
        <v>1768</v>
      </c>
      <c r="E979" s="5" t="s">
        <v>1769</v>
      </c>
      <c r="F9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79" s="2" t="str">
        <f>IF(Table1[[#This Row],[Type]]="Major",Table1[[#This Row],[Major Group]],G978)</f>
        <v>45-0000</v>
      </c>
      <c r="H979" s="2" t="str">
        <f>IF(Table1[[#This Row],[Major Group]]&lt;&gt;"","n/a",IF(Table1[[#This Row],[Minor Group]]&lt;&gt;"",Table1[[#This Row],[Minor Group]],H978))</f>
        <v>45-4000</v>
      </c>
      <c r="I979" s="2" t="str">
        <f>IF(Table1[[#This Row],[Major Group]]&lt;&gt;"","n/a",IF(Table1[[#This Row],[Minor Group]]&lt;&gt;"","n/a",IF(Table1[[#This Row],[Broad Group]]&lt;&gt;"",Table1[[#This Row],[Broad Group]],I978)))</f>
        <v>45-4020</v>
      </c>
      <c r="J9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Occupation]],J978))))</f>
        <v>45-4023</v>
      </c>
      <c r="K979" s="2" t="str">
        <f>Table1[[#This Row],[Group Name]]</f>
        <v>Log Graders and Scalers</v>
      </c>
    </row>
    <row r="980" spans="1:11" x14ac:dyDescent="0.25">
      <c r="D980" s="5" t="s">
        <v>1770</v>
      </c>
      <c r="E980" s="5" t="s">
        <v>1771</v>
      </c>
      <c r="F9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80" s="2" t="str">
        <f>IF(Table1[[#This Row],[Type]]="Major",Table1[[#This Row],[Major Group]],G979)</f>
        <v>45-0000</v>
      </c>
      <c r="H980" s="2" t="str">
        <f>IF(Table1[[#This Row],[Major Group]]&lt;&gt;"","n/a",IF(Table1[[#This Row],[Minor Group]]&lt;&gt;"",Table1[[#This Row],[Minor Group]],H979))</f>
        <v>45-4000</v>
      </c>
      <c r="I980" s="2" t="str">
        <f>IF(Table1[[#This Row],[Major Group]]&lt;&gt;"","n/a",IF(Table1[[#This Row],[Minor Group]]&lt;&gt;"","n/a",IF(Table1[[#This Row],[Broad Group]]&lt;&gt;"",Table1[[#This Row],[Broad Group]],I979)))</f>
        <v>45-4020</v>
      </c>
      <c r="J9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Occupation]],J979))))</f>
        <v>45-4029</v>
      </c>
      <c r="K980" s="2" t="str">
        <f>Table1[[#This Row],[Group Name]]</f>
        <v>Logging Workers, All Other</v>
      </c>
    </row>
    <row r="981" spans="1:11" ht="15.75" x14ac:dyDescent="0.25">
      <c r="A981" s="4" t="s">
        <v>1772</v>
      </c>
      <c r="E981" s="4" t="s">
        <v>1773</v>
      </c>
      <c r="F9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981" s="2" t="str">
        <f>IF(Table1[[#This Row],[Type]]="Major",Table1[[#This Row],[Major Group]],G980)</f>
        <v>47-0000</v>
      </c>
      <c r="H981" s="2" t="str">
        <f>IF(Table1[[#This Row],[Major Group]]&lt;&gt;"","n/a",IF(Table1[[#This Row],[Minor Group]]&lt;&gt;"",Table1[[#This Row],[Minor Group]],H980))</f>
        <v>n/a</v>
      </c>
      <c r="I981" s="2" t="str">
        <f>IF(Table1[[#This Row],[Major Group]]&lt;&gt;"","n/a",IF(Table1[[#This Row],[Minor Group]]&lt;&gt;"","n/a",IF(Table1[[#This Row],[Broad Group]]&lt;&gt;"",Table1[[#This Row],[Broad Group]],I980)))</f>
        <v>n/a</v>
      </c>
      <c r="J9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Occupation]],J980))))</f>
        <v>n/a</v>
      </c>
      <c r="K981" s="2" t="str">
        <f>Table1[[#This Row],[Group Name]]</f>
        <v>Construction and Extraction Occupations</v>
      </c>
    </row>
    <row r="982" spans="1:11" x14ac:dyDescent="0.25">
      <c r="B982" s="3" t="s">
        <v>1774</v>
      </c>
      <c r="E982" s="3" t="s">
        <v>1775</v>
      </c>
      <c r="F9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82" s="2" t="str">
        <f>IF(Table1[[#This Row],[Type]]="Major",Table1[[#This Row],[Major Group]],G981)</f>
        <v>47-0000</v>
      </c>
      <c r="H982" s="2" t="str">
        <f>IF(Table1[[#This Row],[Major Group]]&lt;&gt;"","n/a",IF(Table1[[#This Row],[Minor Group]]&lt;&gt;"",Table1[[#This Row],[Minor Group]],H981))</f>
        <v>47-1000</v>
      </c>
      <c r="I982" s="2" t="str">
        <f>IF(Table1[[#This Row],[Major Group]]&lt;&gt;"","n/a",IF(Table1[[#This Row],[Minor Group]]&lt;&gt;"","n/a",IF(Table1[[#This Row],[Broad Group]]&lt;&gt;"",Table1[[#This Row],[Broad Group]],I981)))</f>
        <v>n/a</v>
      </c>
      <c r="J9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Occupation]],J981))))</f>
        <v>n/a</v>
      </c>
      <c r="K982" s="2" t="str">
        <f>Table1[[#This Row],[Group Name]]</f>
        <v>Supervisors of Construction and Extraction Workers</v>
      </c>
    </row>
    <row r="983" spans="1:11" ht="45" x14ac:dyDescent="0.25">
      <c r="C983" s="1" t="s">
        <v>1776</v>
      </c>
      <c r="E983" s="1" t="s">
        <v>1777</v>
      </c>
      <c r="F9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83" s="2" t="str">
        <f>IF(Table1[[#This Row],[Type]]="Major",Table1[[#This Row],[Major Group]],G982)</f>
        <v>47-0000</v>
      </c>
      <c r="H983" s="2" t="str">
        <f>IF(Table1[[#This Row],[Major Group]]&lt;&gt;"","n/a",IF(Table1[[#This Row],[Minor Group]]&lt;&gt;"",Table1[[#This Row],[Minor Group]],H982))</f>
        <v>47-1000</v>
      </c>
      <c r="I983" s="2" t="str">
        <f>IF(Table1[[#This Row],[Major Group]]&lt;&gt;"","n/a",IF(Table1[[#This Row],[Minor Group]]&lt;&gt;"","n/a",IF(Table1[[#This Row],[Broad Group]]&lt;&gt;"",Table1[[#This Row],[Broad Group]],I982)))</f>
        <v>47-1010</v>
      </c>
      <c r="J9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Occupation]],J982))))</f>
        <v>n/a</v>
      </c>
      <c r="K983" s="2" t="str">
        <f>Table1[[#This Row],[Group Name]]</f>
        <v>First-Line Supervisors of Construction Trades and Extraction Workers</v>
      </c>
    </row>
    <row r="984" spans="1:11" ht="25.5" x14ac:dyDescent="0.25">
      <c r="D984" s="5" t="s">
        <v>1778</v>
      </c>
      <c r="E984" s="5" t="s">
        <v>1777</v>
      </c>
      <c r="F9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84" s="2" t="str">
        <f>IF(Table1[[#This Row],[Type]]="Major",Table1[[#This Row],[Major Group]],G983)</f>
        <v>47-0000</v>
      </c>
      <c r="H984" s="2" t="str">
        <f>IF(Table1[[#This Row],[Major Group]]&lt;&gt;"","n/a",IF(Table1[[#This Row],[Minor Group]]&lt;&gt;"",Table1[[#This Row],[Minor Group]],H983))</f>
        <v>47-1000</v>
      </c>
      <c r="I984" s="2" t="str">
        <f>IF(Table1[[#This Row],[Major Group]]&lt;&gt;"","n/a",IF(Table1[[#This Row],[Minor Group]]&lt;&gt;"","n/a",IF(Table1[[#This Row],[Broad Group]]&lt;&gt;"",Table1[[#This Row],[Broad Group]],I983)))</f>
        <v>47-1010</v>
      </c>
      <c r="J9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Occupation]],J983))))</f>
        <v>47-1011</v>
      </c>
      <c r="K984" s="2" t="str">
        <f>Table1[[#This Row],[Group Name]]</f>
        <v>First-Line Supervisors of Construction Trades and Extraction Workers</v>
      </c>
    </row>
    <row r="985" spans="1:11" x14ac:dyDescent="0.25">
      <c r="B985" s="3" t="s">
        <v>1779</v>
      </c>
      <c r="E985" s="3" t="s">
        <v>1780</v>
      </c>
      <c r="F9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985" s="2" t="str">
        <f>IF(Table1[[#This Row],[Type]]="Major",Table1[[#This Row],[Major Group]],G984)</f>
        <v>47-0000</v>
      </c>
      <c r="H985" s="2" t="str">
        <f>IF(Table1[[#This Row],[Major Group]]&lt;&gt;"","n/a",IF(Table1[[#This Row],[Minor Group]]&lt;&gt;"",Table1[[#This Row],[Minor Group]],H984))</f>
        <v>47-2000</v>
      </c>
      <c r="I985" s="2" t="str">
        <f>IF(Table1[[#This Row],[Major Group]]&lt;&gt;"","n/a",IF(Table1[[#This Row],[Minor Group]]&lt;&gt;"","n/a",IF(Table1[[#This Row],[Broad Group]]&lt;&gt;"",Table1[[#This Row],[Broad Group]],I984)))</f>
        <v>n/a</v>
      </c>
      <c r="J9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Occupation]],J984))))</f>
        <v>n/a</v>
      </c>
      <c r="K985" s="2" t="str">
        <f>Table1[[#This Row],[Group Name]]</f>
        <v>Construction Trades Workers</v>
      </c>
    </row>
    <row r="986" spans="1:11" x14ac:dyDescent="0.25">
      <c r="C986" s="1" t="s">
        <v>1781</v>
      </c>
      <c r="E986" s="1" t="s">
        <v>1782</v>
      </c>
      <c r="F9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86" s="2" t="str">
        <f>IF(Table1[[#This Row],[Type]]="Major",Table1[[#This Row],[Major Group]],G985)</f>
        <v>47-0000</v>
      </c>
      <c r="H986" s="2" t="str">
        <f>IF(Table1[[#This Row],[Major Group]]&lt;&gt;"","n/a",IF(Table1[[#This Row],[Minor Group]]&lt;&gt;"",Table1[[#This Row],[Minor Group]],H985))</f>
        <v>47-2000</v>
      </c>
      <c r="I986" s="2" t="str">
        <f>IF(Table1[[#This Row],[Major Group]]&lt;&gt;"","n/a",IF(Table1[[#This Row],[Minor Group]]&lt;&gt;"","n/a",IF(Table1[[#This Row],[Broad Group]]&lt;&gt;"",Table1[[#This Row],[Broad Group]],I985)))</f>
        <v>47-2010</v>
      </c>
      <c r="J9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Occupation]],J985))))</f>
        <v>n/a</v>
      </c>
      <c r="K986" s="2" t="str">
        <f>Table1[[#This Row],[Group Name]]</f>
        <v>Boilermakers</v>
      </c>
    </row>
    <row r="987" spans="1:11" x14ac:dyDescent="0.25">
      <c r="D987" s="5" t="s">
        <v>1783</v>
      </c>
      <c r="E987" s="5" t="s">
        <v>1782</v>
      </c>
      <c r="F9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87" s="2" t="str">
        <f>IF(Table1[[#This Row],[Type]]="Major",Table1[[#This Row],[Major Group]],G986)</f>
        <v>47-0000</v>
      </c>
      <c r="H987" s="2" t="str">
        <f>IF(Table1[[#This Row],[Major Group]]&lt;&gt;"","n/a",IF(Table1[[#This Row],[Minor Group]]&lt;&gt;"",Table1[[#This Row],[Minor Group]],H986))</f>
        <v>47-2000</v>
      </c>
      <c r="I987" s="2" t="str">
        <f>IF(Table1[[#This Row],[Major Group]]&lt;&gt;"","n/a",IF(Table1[[#This Row],[Minor Group]]&lt;&gt;"","n/a",IF(Table1[[#This Row],[Broad Group]]&lt;&gt;"",Table1[[#This Row],[Broad Group]],I986)))</f>
        <v>47-2010</v>
      </c>
      <c r="J9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Occupation]],J986))))</f>
        <v>47-2011</v>
      </c>
      <c r="K987" s="2" t="str">
        <f>Table1[[#This Row],[Group Name]]</f>
        <v>Boilermakers</v>
      </c>
    </row>
    <row r="988" spans="1:11" ht="30" x14ac:dyDescent="0.25">
      <c r="C988" s="1" t="s">
        <v>1784</v>
      </c>
      <c r="E988" s="1" t="s">
        <v>1785</v>
      </c>
      <c r="F9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88" s="2" t="str">
        <f>IF(Table1[[#This Row],[Type]]="Major",Table1[[#This Row],[Major Group]],G987)</f>
        <v>47-0000</v>
      </c>
      <c r="H988" s="2" t="str">
        <f>IF(Table1[[#This Row],[Major Group]]&lt;&gt;"","n/a",IF(Table1[[#This Row],[Minor Group]]&lt;&gt;"",Table1[[#This Row],[Minor Group]],H987))</f>
        <v>47-2000</v>
      </c>
      <c r="I988" s="2" t="str">
        <f>IF(Table1[[#This Row],[Major Group]]&lt;&gt;"","n/a",IF(Table1[[#This Row],[Minor Group]]&lt;&gt;"","n/a",IF(Table1[[#This Row],[Broad Group]]&lt;&gt;"",Table1[[#This Row],[Broad Group]],I987)))</f>
        <v>47-2020</v>
      </c>
      <c r="J9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Occupation]],J987))))</f>
        <v>n/a</v>
      </c>
      <c r="K988" s="2" t="str">
        <f>Table1[[#This Row],[Group Name]]</f>
        <v>Brickmasons, Blockmasons, and Stonemasons</v>
      </c>
    </row>
    <row r="989" spans="1:11" x14ac:dyDescent="0.25">
      <c r="D989" s="5" t="s">
        <v>1786</v>
      </c>
      <c r="E989" s="5" t="s">
        <v>1787</v>
      </c>
      <c r="F9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89" s="2" t="str">
        <f>IF(Table1[[#This Row],[Type]]="Major",Table1[[#This Row],[Major Group]],G988)</f>
        <v>47-0000</v>
      </c>
      <c r="H989" s="2" t="str">
        <f>IF(Table1[[#This Row],[Major Group]]&lt;&gt;"","n/a",IF(Table1[[#This Row],[Minor Group]]&lt;&gt;"",Table1[[#This Row],[Minor Group]],H988))</f>
        <v>47-2000</v>
      </c>
      <c r="I989" s="2" t="str">
        <f>IF(Table1[[#This Row],[Major Group]]&lt;&gt;"","n/a",IF(Table1[[#This Row],[Minor Group]]&lt;&gt;"","n/a",IF(Table1[[#This Row],[Broad Group]]&lt;&gt;"",Table1[[#This Row],[Broad Group]],I988)))</f>
        <v>47-2020</v>
      </c>
      <c r="J9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Occupation]],J988))))</f>
        <v>47-2021</v>
      </c>
      <c r="K989" s="2" t="str">
        <f>Table1[[#This Row],[Group Name]]</f>
        <v>Brickmasons and Blockmasons</v>
      </c>
    </row>
    <row r="990" spans="1:11" x14ac:dyDescent="0.25">
      <c r="D990" s="5" t="s">
        <v>1788</v>
      </c>
      <c r="E990" s="5" t="s">
        <v>1789</v>
      </c>
      <c r="F9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90" s="2" t="str">
        <f>IF(Table1[[#This Row],[Type]]="Major",Table1[[#This Row],[Major Group]],G989)</f>
        <v>47-0000</v>
      </c>
      <c r="H990" s="2" t="str">
        <f>IF(Table1[[#This Row],[Major Group]]&lt;&gt;"","n/a",IF(Table1[[#This Row],[Minor Group]]&lt;&gt;"",Table1[[#This Row],[Minor Group]],H989))</f>
        <v>47-2000</v>
      </c>
      <c r="I990" s="2" t="str">
        <f>IF(Table1[[#This Row],[Major Group]]&lt;&gt;"","n/a",IF(Table1[[#This Row],[Minor Group]]&lt;&gt;"","n/a",IF(Table1[[#This Row],[Broad Group]]&lt;&gt;"",Table1[[#This Row],[Broad Group]],I989)))</f>
        <v>47-2020</v>
      </c>
      <c r="J9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Occupation]],J989))))</f>
        <v>47-2022</v>
      </c>
      <c r="K990" s="2" t="str">
        <f>Table1[[#This Row],[Group Name]]</f>
        <v>Stonemasons</v>
      </c>
    </row>
    <row r="991" spans="1:11" x14ac:dyDescent="0.25">
      <c r="C991" s="1" t="s">
        <v>1790</v>
      </c>
      <c r="E991" s="1" t="s">
        <v>1791</v>
      </c>
      <c r="F9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91" s="2" t="str">
        <f>IF(Table1[[#This Row],[Type]]="Major",Table1[[#This Row],[Major Group]],G990)</f>
        <v>47-0000</v>
      </c>
      <c r="H991" s="2" t="str">
        <f>IF(Table1[[#This Row],[Major Group]]&lt;&gt;"","n/a",IF(Table1[[#This Row],[Minor Group]]&lt;&gt;"",Table1[[#This Row],[Minor Group]],H990))</f>
        <v>47-2000</v>
      </c>
      <c r="I991" s="2" t="str">
        <f>IF(Table1[[#This Row],[Major Group]]&lt;&gt;"","n/a",IF(Table1[[#This Row],[Minor Group]]&lt;&gt;"","n/a",IF(Table1[[#This Row],[Broad Group]]&lt;&gt;"",Table1[[#This Row],[Broad Group]],I990)))</f>
        <v>47-2030</v>
      </c>
      <c r="J9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Occupation]],J990))))</f>
        <v>n/a</v>
      </c>
      <c r="K991" s="2" t="str">
        <f>Table1[[#This Row],[Group Name]]</f>
        <v>Carpenters</v>
      </c>
    </row>
    <row r="992" spans="1:11" x14ac:dyDescent="0.25">
      <c r="D992" s="5" t="s">
        <v>1792</v>
      </c>
      <c r="E992" s="5" t="s">
        <v>1791</v>
      </c>
      <c r="F9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92" s="2" t="str">
        <f>IF(Table1[[#This Row],[Type]]="Major",Table1[[#This Row],[Major Group]],G991)</f>
        <v>47-0000</v>
      </c>
      <c r="H992" s="2" t="str">
        <f>IF(Table1[[#This Row],[Major Group]]&lt;&gt;"","n/a",IF(Table1[[#This Row],[Minor Group]]&lt;&gt;"",Table1[[#This Row],[Minor Group]],H991))</f>
        <v>47-2000</v>
      </c>
      <c r="I992" s="2" t="str">
        <f>IF(Table1[[#This Row],[Major Group]]&lt;&gt;"","n/a",IF(Table1[[#This Row],[Minor Group]]&lt;&gt;"","n/a",IF(Table1[[#This Row],[Broad Group]]&lt;&gt;"",Table1[[#This Row],[Broad Group]],I991)))</f>
        <v>47-2030</v>
      </c>
      <c r="J9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Occupation]],J991))))</f>
        <v>47-2031</v>
      </c>
      <c r="K992" s="2" t="str">
        <f>Table1[[#This Row],[Group Name]]</f>
        <v>Carpenters</v>
      </c>
    </row>
    <row r="993" spans="3:11" ht="30" x14ac:dyDescent="0.25">
      <c r="C993" s="1" t="s">
        <v>1793</v>
      </c>
      <c r="E993" s="1" t="s">
        <v>1794</v>
      </c>
      <c r="F9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93" s="2" t="str">
        <f>IF(Table1[[#This Row],[Type]]="Major",Table1[[#This Row],[Major Group]],G992)</f>
        <v>47-0000</v>
      </c>
      <c r="H993" s="2" t="str">
        <f>IF(Table1[[#This Row],[Major Group]]&lt;&gt;"","n/a",IF(Table1[[#This Row],[Minor Group]]&lt;&gt;"",Table1[[#This Row],[Minor Group]],H992))</f>
        <v>47-2000</v>
      </c>
      <c r="I993" s="2" t="str">
        <f>IF(Table1[[#This Row],[Major Group]]&lt;&gt;"","n/a",IF(Table1[[#This Row],[Minor Group]]&lt;&gt;"","n/a",IF(Table1[[#This Row],[Broad Group]]&lt;&gt;"",Table1[[#This Row],[Broad Group]],I992)))</f>
        <v>47-2040</v>
      </c>
      <c r="J9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Occupation]],J992))))</f>
        <v>n/a</v>
      </c>
      <c r="K993" s="2" t="str">
        <f>Table1[[#This Row],[Group Name]]</f>
        <v>Carpet, Floor, and Tile Installers and Finishers</v>
      </c>
    </row>
    <row r="994" spans="3:11" x14ac:dyDescent="0.25">
      <c r="D994" s="5" t="s">
        <v>1795</v>
      </c>
      <c r="E994" s="5" t="s">
        <v>1796</v>
      </c>
      <c r="F9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94" s="2" t="str">
        <f>IF(Table1[[#This Row],[Type]]="Major",Table1[[#This Row],[Major Group]],G993)</f>
        <v>47-0000</v>
      </c>
      <c r="H994" s="2" t="str">
        <f>IF(Table1[[#This Row],[Major Group]]&lt;&gt;"","n/a",IF(Table1[[#This Row],[Minor Group]]&lt;&gt;"",Table1[[#This Row],[Minor Group]],H993))</f>
        <v>47-2000</v>
      </c>
      <c r="I994" s="2" t="str">
        <f>IF(Table1[[#This Row],[Major Group]]&lt;&gt;"","n/a",IF(Table1[[#This Row],[Minor Group]]&lt;&gt;"","n/a",IF(Table1[[#This Row],[Broad Group]]&lt;&gt;"",Table1[[#This Row],[Broad Group]],I993)))</f>
        <v>47-2040</v>
      </c>
      <c r="J9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Occupation]],J993))))</f>
        <v>47-2041</v>
      </c>
      <c r="K994" s="2" t="str">
        <f>Table1[[#This Row],[Group Name]]</f>
        <v>Carpet Installers</v>
      </c>
    </row>
    <row r="995" spans="3:11" ht="25.5" x14ac:dyDescent="0.25">
      <c r="D995" s="5" t="s">
        <v>1797</v>
      </c>
      <c r="E995" s="5" t="s">
        <v>1798</v>
      </c>
      <c r="F9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95" s="2" t="str">
        <f>IF(Table1[[#This Row],[Type]]="Major",Table1[[#This Row],[Major Group]],G994)</f>
        <v>47-0000</v>
      </c>
      <c r="H995" s="2" t="str">
        <f>IF(Table1[[#This Row],[Major Group]]&lt;&gt;"","n/a",IF(Table1[[#This Row],[Minor Group]]&lt;&gt;"",Table1[[#This Row],[Minor Group]],H994))</f>
        <v>47-2000</v>
      </c>
      <c r="I995" s="2" t="str">
        <f>IF(Table1[[#This Row],[Major Group]]&lt;&gt;"","n/a",IF(Table1[[#This Row],[Minor Group]]&lt;&gt;"","n/a",IF(Table1[[#This Row],[Broad Group]]&lt;&gt;"",Table1[[#This Row],[Broad Group]],I994)))</f>
        <v>47-2040</v>
      </c>
      <c r="J9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Occupation]],J994))))</f>
        <v>47-2042</v>
      </c>
      <c r="K995" s="2" t="str">
        <f>Table1[[#This Row],[Group Name]]</f>
        <v>Floor Layers, Except Carpet, Wood, and Hard Tiles</v>
      </c>
    </row>
    <row r="996" spans="3:11" x14ac:dyDescent="0.25">
      <c r="D996" s="5" t="s">
        <v>1799</v>
      </c>
      <c r="E996" s="5" t="s">
        <v>1800</v>
      </c>
      <c r="F9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96" s="2" t="str">
        <f>IF(Table1[[#This Row],[Type]]="Major",Table1[[#This Row],[Major Group]],G995)</f>
        <v>47-0000</v>
      </c>
      <c r="H996" s="2" t="str">
        <f>IF(Table1[[#This Row],[Major Group]]&lt;&gt;"","n/a",IF(Table1[[#This Row],[Minor Group]]&lt;&gt;"",Table1[[#This Row],[Minor Group]],H995))</f>
        <v>47-2000</v>
      </c>
      <c r="I996" s="2" t="str">
        <f>IF(Table1[[#This Row],[Major Group]]&lt;&gt;"","n/a",IF(Table1[[#This Row],[Minor Group]]&lt;&gt;"","n/a",IF(Table1[[#This Row],[Broad Group]]&lt;&gt;"",Table1[[#This Row],[Broad Group]],I995)))</f>
        <v>47-2040</v>
      </c>
      <c r="J9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Occupation]],J995))))</f>
        <v>47-2043</v>
      </c>
      <c r="K996" s="2" t="str">
        <f>Table1[[#This Row],[Group Name]]</f>
        <v>Floor Sanders and Finishers</v>
      </c>
    </row>
    <row r="997" spans="3:11" x14ac:dyDescent="0.25">
      <c r="D997" s="5" t="s">
        <v>1801</v>
      </c>
      <c r="E997" s="5" t="s">
        <v>1802</v>
      </c>
      <c r="F9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97" s="2" t="str">
        <f>IF(Table1[[#This Row],[Type]]="Major",Table1[[#This Row],[Major Group]],G996)</f>
        <v>47-0000</v>
      </c>
      <c r="H997" s="2" t="str">
        <f>IF(Table1[[#This Row],[Major Group]]&lt;&gt;"","n/a",IF(Table1[[#This Row],[Minor Group]]&lt;&gt;"",Table1[[#This Row],[Minor Group]],H996))</f>
        <v>47-2000</v>
      </c>
      <c r="I997" s="2" t="str">
        <f>IF(Table1[[#This Row],[Major Group]]&lt;&gt;"","n/a",IF(Table1[[#This Row],[Minor Group]]&lt;&gt;"","n/a",IF(Table1[[#This Row],[Broad Group]]&lt;&gt;"",Table1[[#This Row],[Broad Group]],I996)))</f>
        <v>47-2040</v>
      </c>
      <c r="J9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Occupation]],J996))))</f>
        <v>47-2044</v>
      </c>
      <c r="K997" s="2" t="str">
        <f>Table1[[#This Row],[Group Name]]</f>
        <v>Tile and Stone Setters</v>
      </c>
    </row>
    <row r="998" spans="3:11" ht="30" x14ac:dyDescent="0.25">
      <c r="C998" s="1" t="s">
        <v>1803</v>
      </c>
      <c r="E998" s="1" t="s">
        <v>1804</v>
      </c>
      <c r="F9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998" s="2" t="str">
        <f>IF(Table1[[#This Row],[Type]]="Major",Table1[[#This Row],[Major Group]],G997)</f>
        <v>47-0000</v>
      </c>
      <c r="H998" s="2" t="str">
        <f>IF(Table1[[#This Row],[Major Group]]&lt;&gt;"","n/a",IF(Table1[[#This Row],[Minor Group]]&lt;&gt;"",Table1[[#This Row],[Minor Group]],H997))</f>
        <v>47-2000</v>
      </c>
      <c r="I998" s="2" t="str">
        <f>IF(Table1[[#This Row],[Major Group]]&lt;&gt;"","n/a",IF(Table1[[#This Row],[Minor Group]]&lt;&gt;"","n/a",IF(Table1[[#This Row],[Broad Group]]&lt;&gt;"",Table1[[#This Row],[Broad Group]],I997)))</f>
        <v>47-2050</v>
      </c>
      <c r="J9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Occupation]],J997))))</f>
        <v>n/a</v>
      </c>
      <c r="K998" s="2" t="str">
        <f>Table1[[#This Row],[Group Name]]</f>
        <v>Cement Masons, Concrete Finishers, and Terrazzo Workers</v>
      </c>
    </row>
    <row r="999" spans="3:11" ht="25.5" x14ac:dyDescent="0.25">
      <c r="D999" s="5" t="s">
        <v>1805</v>
      </c>
      <c r="E999" s="5" t="s">
        <v>1806</v>
      </c>
      <c r="F9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999" s="2" t="str">
        <f>IF(Table1[[#This Row],[Type]]="Major",Table1[[#This Row],[Major Group]],G998)</f>
        <v>47-0000</v>
      </c>
      <c r="H999" s="2" t="str">
        <f>IF(Table1[[#This Row],[Major Group]]&lt;&gt;"","n/a",IF(Table1[[#This Row],[Minor Group]]&lt;&gt;"",Table1[[#This Row],[Minor Group]],H998))</f>
        <v>47-2000</v>
      </c>
      <c r="I999" s="2" t="str">
        <f>IF(Table1[[#This Row],[Major Group]]&lt;&gt;"","n/a",IF(Table1[[#This Row],[Minor Group]]&lt;&gt;"","n/a",IF(Table1[[#This Row],[Broad Group]]&lt;&gt;"",Table1[[#This Row],[Broad Group]],I998)))</f>
        <v>47-2050</v>
      </c>
      <c r="J9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Occupation]],J998))))</f>
        <v>47-2051</v>
      </c>
      <c r="K999" s="2" t="str">
        <f>Table1[[#This Row],[Group Name]]</f>
        <v>Cement Masons and Concrete Finishers</v>
      </c>
    </row>
    <row r="1000" spans="3:11" x14ac:dyDescent="0.25">
      <c r="D1000" s="5" t="s">
        <v>1807</v>
      </c>
      <c r="E1000" s="5" t="s">
        <v>1808</v>
      </c>
      <c r="F10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0" s="2" t="str">
        <f>IF(Table1[[#This Row],[Type]]="Major",Table1[[#This Row],[Major Group]],G999)</f>
        <v>47-0000</v>
      </c>
      <c r="H1000" s="2" t="str">
        <f>IF(Table1[[#This Row],[Major Group]]&lt;&gt;"","n/a",IF(Table1[[#This Row],[Minor Group]]&lt;&gt;"",Table1[[#This Row],[Minor Group]],H999))</f>
        <v>47-2000</v>
      </c>
      <c r="I1000" s="2" t="str">
        <f>IF(Table1[[#This Row],[Major Group]]&lt;&gt;"","n/a",IF(Table1[[#This Row],[Minor Group]]&lt;&gt;"","n/a",IF(Table1[[#This Row],[Broad Group]]&lt;&gt;"",Table1[[#This Row],[Broad Group]],I999)))</f>
        <v>47-2050</v>
      </c>
      <c r="J10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Occupation]],J999))))</f>
        <v>47-2053</v>
      </c>
      <c r="K1000" s="2" t="str">
        <f>Table1[[#This Row],[Group Name]]</f>
        <v>Terrazzo Workers and Finishers</v>
      </c>
    </row>
    <row r="1001" spans="3:11" x14ac:dyDescent="0.25">
      <c r="C1001" s="1" t="s">
        <v>1809</v>
      </c>
      <c r="E1001" s="1" t="s">
        <v>1810</v>
      </c>
      <c r="F10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01" s="2" t="str">
        <f>IF(Table1[[#This Row],[Type]]="Major",Table1[[#This Row],[Major Group]],G1000)</f>
        <v>47-0000</v>
      </c>
      <c r="H1001" s="2" t="str">
        <f>IF(Table1[[#This Row],[Major Group]]&lt;&gt;"","n/a",IF(Table1[[#This Row],[Minor Group]]&lt;&gt;"",Table1[[#This Row],[Minor Group]],H1000))</f>
        <v>47-2000</v>
      </c>
      <c r="I1001" s="2" t="str">
        <f>IF(Table1[[#This Row],[Major Group]]&lt;&gt;"","n/a",IF(Table1[[#This Row],[Minor Group]]&lt;&gt;"","n/a",IF(Table1[[#This Row],[Broad Group]]&lt;&gt;"",Table1[[#This Row],[Broad Group]],I1000)))</f>
        <v>47-2060</v>
      </c>
      <c r="J10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Occupation]],J1000))))</f>
        <v>n/a</v>
      </c>
      <c r="K1001" s="2" t="str">
        <f>Table1[[#This Row],[Group Name]]</f>
        <v>Construction Laborers</v>
      </c>
    </row>
    <row r="1002" spans="3:11" x14ac:dyDescent="0.25">
      <c r="D1002" s="5" t="s">
        <v>1811</v>
      </c>
      <c r="E1002" s="5" t="s">
        <v>1810</v>
      </c>
      <c r="F10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2" s="2" t="str">
        <f>IF(Table1[[#This Row],[Type]]="Major",Table1[[#This Row],[Major Group]],G1001)</f>
        <v>47-0000</v>
      </c>
      <c r="H1002" s="2" t="str">
        <f>IF(Table1[[#This Row],[Major Group]]&lt;&gt;"","n/a",IF(Table1[[#This Row],[Minor Group]]&lt;&gt;"",Table1[[#This Row],[Minor Group]],H1001))</f>
        <v>47-2000</v>
      </c>
      <c r="I1002" s="2" t="str">
        <f>IF(Table1[[#This Row],[Major Group]]&lt;&gt;"","n/a",IF(Table1[[#This Row],[Minor Group]]&lt;&gt;"","n/a",IF(Table1[[#This Row],[Broad Group]]&lt;&gt;"",Table1[[#This Row],[Broad Group]],I1001)))</f>
        <v>47-2060</v>
      </c>
      <c r="J10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Occupation]],J1001))))</f>
        <v>47-2061</v>
      </c>
      <c r="K1002" s="2" t="str">
        <f>Table1[[#This Row],[Group Name]]</f>
        <v>Construction Laborers</v>
      </c>
    </row>
    <row r="1003" spans="3:11" ht="30" x14ac:dyDescent="0.25">
      <c r="C1003" s="1" t="s">
        <v>1812</v>
      </c>
      <c r="E1003" s="1" t="s">
        <v>1813</v>
      </c>
      <c r="F10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03" s="2" t="str">
        <f>IF(Table1[[#This Row],[Type]]="Major",Table1[[#This Row],[Major Group]],G1002)</f>
        <v>47-0000</v>
      </c>
      <c r="H1003" s="2" t="str">
        <f>IF(Table1[[#This Row],[Major Group]]&lt;&gt;"","n/a",IF(Table1[[#This Row],[Minor Group]]&lt;&gt;"",Table1[[#This Row],[Minor Group]],H1002))</f>
        <v>47-2000</v>
      </c>
      <c r="I1003" s="2" t="str">
        <f>IF(Table1[[#This Row],[Major Group]]&lt;&gt;"","n/a",IF(Table1[[#This Row],[Minor Group]]&lt;&gt;"","n/a",IF(Table1[[#This Row],[Broad Group]]&lt;&gt;"",Table1[[#This Row],[Broad Group]],I1002)))</f>
        <v>47-2070</v>
      </c>
      <c r="J10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Occupation]],J1002))))</f>
        <v>n/a</v>
      </c>
      <c r="K1003" s="2" t="str">
        <f>Table1[[#This Row],[Group Name]]</f>
        <v>Construction Equipment Operators</v>
      </c>
    </row>
    <row r="1004" spans="3:11" ht="25.5" x14ac:dyDescent="0.25">
      <c r="D1004" s="5" t="s">
        <v>1814</v>
      </c>
      <c r="E1004" s="5" t="s">
        <v>1815</v>
      </c>
      <c r="F10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4" s="2" t="str">
        <f>IF(Table1[[#This Row],[Type]]="Major",Table1[[#This Row],[Major Group]],G1003)</f>
        <v>47-0000</v>
      </c>
      <c r="H1004" s="2" t="str">
        <f>IF(Table1[[#This Row],[Major Group]]&lt;&gt;"","n/a",IF(Table1[[#This Row],[Minor Group]]&lt;&gt;"",Table1[[#This Row],[Minor Group]],H1003))</f>
        <v>47-2000</v>
      </c>
      <c r="I1004" s="2" t="str">
        <f>IF(Table1[[#This Row],[Major Group]]&lt;&gt;"","n/a",IF(Table1[[#This Row],[Minor Group]]&lt;&gt;"","n/a",IF(Table1[[#This Row],[Broad Group]]&lt;&gt;"",Table1[[#This Row],[Broad Group]],I1003)))</f>
        <v>47-2070</v>
      </c>
      <c r="J10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Occupation]],J1003))))</f>
        <v>47-2071</v>
      </c>
      <c r="K1004" s="2" t="str">
        <f>Table1[[#This Row],[Group Name]]</f>
        <v>Paving, Surfacing, and Tamping Equipment Operators</v>
      </c>
    </row>
    <row r="1005" spans="3:11" x14ac:dyDescent="0.25">
      <c r="D1005" s="5" t="s">
        <v>1816</v>
      </c>
      <c r="E1005" s="5" t="s">
        <v>1817</v>
      </c>
      <c r="F10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5" s="2" t="str">
        <f>IF(Table1[[#This Row],[Type]]="Major",Table1[[#This Row],[Major Group]],G1004)</f>
        <v>47-0000</v>
      </c>
      <c r="H1005" s="2" t="str">
        <f>IF(Table1[[#This Row],[Major Group]]&lt;&gt;"","n/a",IF(Table1[[#This Row],[Minor Group]]&lt;&gt;"",Table1[[#This Row],[Minor Group]],H1004))</f>
        <v>47-2000</v>
      </c>
      <c r="I1005" s="2" t="str">
        <f>IF(Table1[[#This Row],[Major Group]]&lt;&gt;"","n/a",IF(Table1[[#This Row],[Minor Group]]&lt;&gt;"","n/a",IF(Table1[[#This Row],[Broad Group]]&lt;&gt;"",Table1[[#This Row],[Broad Group]],I1004)))</f>
        <v>47-2070</v>
      </c>
      <c r="J10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Occupation]],J1004))))</f>
        <v>47-2072</v>
      </c>
      <c r="K1005" s="2" t="str">
        <f>Table1[[#This Row],[Group Name]]</f>
        <v>Pile Driver Operators</v>
      </c>
    </row>
    <row r="1006" spans="3:11" ht="25.5" x14ac:dyDescent="0.25">
      <c r="D1006" s="5" t="s">
        <v>1818</v>
      </c>
      <c r="E1006" s="5" t="s">
        <v>1819</v>
      </c>
      <c r="F10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6" s="2" t="str">
        <f>IF(Table1[[#This Row],[Type]]="Major",Table1[[#This Row],[Major Group]],G1005)</f>
        <v>47-0000</v>
      </c>
      <c r="H1006" s="2" t="str">
        <f>IF(Table1[[#This Row],[Major Group]]&lt;&gt;"","n/a",IF(Table1[[#This Row],[Minor Group]]&lt;&gt;"",Table1[[#This Row],[Minor Group]],H1005))</f>
        <v>47-2000</v>
      </c>
      <c r="I1006" s="2" t="str">
        <f>IF(Table1[[#This Row],[Major Group]]&lt;&gt;"","n/a",IF(Table1[[#This Row],[Minor Group]]&lt;&gt;"","n/a",IF(Table1[[#This Row],[Broad Group]]&lt;&gt;"",Table1[[#This Row],[Broad Group]],I1005)))</f>
        <v>47-2070</v>
      </c>
      <c r="J10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Occupation]],J1005))))</f>
        <v>47-2073</v>
      </c>
      <c r="K1006" s="2" t="str">
        <f>Table1[[#This Row],[Group Name]]</f>
        <v>Operating Engineers and Other Construction Equipment Operators</v>
      </c>
    </row>
    <row r="1007" spans="3:11" ht="30" x14ac:dyDescent="0.25">
      <c r="C1007" s="1" t="s">
        <v>1820</v>
      </c>
      <c r="E1007" s="1" t="s">
        <v>1821</v>
      </c>
      <c r="F10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07" s="2" t="str">
        <f>IF(Table1[[#This Row],[Type]]="Major",Table1[[#This Row],[Major Group]],G1006)</f>
        <v>47-0000</v>
      </c>
      <c r="H1007" s="2" t="str">
        <f>IF(Table1[[#This Row],[Major Group]]&lt;&gt;"","n/a",IF(Table1[[#This Row],[Minor Group]]&lt;&gt;"",Table1[[#This Row],[Minor Group]],H1006))</f>
        <v>47-2000</v>
      </c>
      <c r="I1007" s="2" t="str">
        <f>IF(Table1[[#This Row],[Major Group]]&lt;&gt;"","n/a",IF(Table1[[#This Row],[Minor Group]]&lt;&gt;"","n/a",IF(Table1[[#This Row],[Broad Group]]&lt;&gt;"",Table1[[#This Row],[Broad Group]],I1006)))</f>
        <v>47-2080</v>
      </c>
      <c r="J10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Occupation]],J1006))))</f>
        <v>n/a</v>
      </c>
      <c r="K1007" s="2" t="str">
        <f>Table1[[#This Row],[Group Name]]</f>
        <v>Drywall Installers, Ceiling Tile Installers, and Tapers</v>
      </c>
    </row>
    <row r="1008" spans="3:11" x14ac:dyDescent="0.25">
      <c r="D1008" s="5" t="s">
        <v>1822</v>
      </c>
      <c r="E1008" s="5" t="s">
        <v>1823</v>
      </c>
      <c r="F10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8" s="2" t="str">
        <f>IF(Table1[[#This Row],[Type]]="Major",Table1[[#This Row],[Major Group]],G1007)</f>
        <v>47-0000</v>
      </c>
      <c r="H1008" s="2" t="str">
        <f>IF(Table1[[#This Row],[Major Group]]&lt;&gt;"","n/a",IF(Table1[[#This Row],[Minor Group]]&lt;&gt;"",Table1[[#This Row],[Minor Group]],H1007))</f>
        <v>47-2000</v>
      </c>
      <c r="I1008" s="2" t="str">
        <f>IF(Table1[[#This Row],[Major Group]]&lt;&gt;"","n/a",IF(Table1[[#This Row],[Minor Group]]&lt;&gt;"","n/a",IF(Table1[[#This Row],[Broad Group]]&lt;&gt;"",Table1[[#This Row],[Broad Group]],I1007)))</f>
        <v>47-2080</v>
      </c>
      <c r="J10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Occupation]],J1007))))</f>
        <v>47-2081</v>
      </c>
      <c r="K1008" s="2" t="str">
        <f>Table1[[#This Row],[Group Name]]</f>
        <v>Drywall and Ceiling Tile Installers</v>
      </c>
    </row>
    <row r="1009" spans="3:11" x14ac:dyDescent="0.25">
      <c r="D1009" s="5" t="s">
        <v>1824</v>
      </c>
      <c r="E1009" s="5" t="s">
        <v>1825</v>
      </c>
      <c r="F10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09" s="2" t="str">
        <f>IF(Table1[[#This Row],[Type]]="Major",Table1[[#This Row],[Major Group]],G1008)</f>
        <v>47-0000</v>
      </c>
      <c r="H1009" s="2" t="str">
        <f>IF(Table1[[#This Row],[Major Group]]&lt;&gt;"","n/a",IF(Table1[[#This Row],[Minor Group]]&lt;&gt;"",Table1[[#This Row],[Minor Group]],H1008))</f>
        <v>47-2000</v>
      </c>
      <c r="I1009" s="2" t="str">
        <f>IF(Table1[[#This Row],[Major Group]]&lt;&gt;"","n/a",IF(Table1[[#This Row],[Minor Group]]&lt;&gt;"","n/a",IF(Table1[[#This Row],[Broad Group]]&lt;&gt;"",Table1[[#This Row],[Broad Group]],I1008)))</f>
        <v>47-2080</v>
      </c>
      <c r="J10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Occupation]],J1008))))</f>
        <v>47-2082</v>
      </c>
      <c r="K1009" s="2" t="str">
        <f>Table1[[#This Row],[Group Name]]</f>
        <v>Tapers</v>
      </c>
    </row>
    <row r="1010" spans="3:11" x14ac:dyDescent="0.25">
      <c r="C1010" s="1" t="s">
        <v>1826</v>
      </c>
      <c r="E1010" s="1" t="s">
        <v>1827</v>
      </c>
      <c r="F10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10" s="2" t="str">
        <f>IF(Table1[[#This Row],[Type]]="Major",Table1[[#This Row],[Major Group]],G1009)</f>
        <v>47-0000</v>
      </c>
      <c r="H1010" s="2" t="str">
        <f>IF(Table1[[#This Row],[Major Group]]&lt;&gt;"","n/a",IF(Table1[[#This Row],[Minor Group]]&lt;&gt;"",Table1[[#This Row],[Minor Group]],H1009))</f>
        <v>47-2000</v>
      </c>
      <c r="I1010" s="2" t="str">
        <f>IF(Table1[[#This Row],[Major Group]]&lt;&gt;"","n/a",IF(Table1[[#This Row],[Minor Group]]&lt;&gt;"","n/a",IF(Table1[[#This Row],[Broad Group]]&lt;&gt;"",Table1[[#This Row],[Broad Group]],I1009)))</f>
        <v>47-2110</v>
      </c>
      <c r="J10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Occupation]],J1009))))</f>
        <v>n/a</v>
      </c>
      <c r="K1010" s="2" t="str">
        <f>Table1[[#This Row],[Group Name]]</f>
        <v>Electricians</v>
      </c>
    </row>
    <row r="1011" spans="3:11" x14ac:dyDescent="0.25">
      <c r="D1011" s="5" t="s">
        <v>1828</v>
      </c>
      <c r="E1011" s="5" t="s">
        <v>1827</v>
      </c>
      <c r="F10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11" s="2" t="str">
        <f>IF(Table1[[#This Row],[Type]]="Major",Table1[[#This Row],[Major Group]],G1010)</f>
        <v>47-0000</v>
      </c>
      <c r="H1011" s="2" t="str">
        <f>IF(Table1[[#This Row],[Major Group]]&lt;&gt;"","n/a",IF(Table1[[#This Row],[Minor Group]]&lt;&gt;"",Table1[[#This Row],[Minor Group]],H1010))</f>
        <v>47-2000</v>
      </c>
      <c r="I1011" s="2" t="str">
        <f>IF(Table1[[#This Row],[Major Group]]&lt;&gt;"","n/a",IF(Table1[[#This Row],[Minor Group]]&lt;&gt;"","n/a",IF(Table1[[#This Row],[Broad Group]]&lt;&gt;"",Table1[[#This Row],[Broad Group]],I1010)))</f>
        <v>47-2110</v>
      </c>
      <c r="J10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Occupation]],J1010))))</f>
        <v>47-2111</v>
      </c>
      <c r="K1011" s="2" t="str">
        <f>Table1[[#This Row],[Group Name]]</f>
        <v>Electricians</v>
      </c>
    </row>
    <row r="1012" spans="3:11" x14ac:dyDescent="0.25">
      <c r="C1012" s="1" t="s">
        <v>1829</v>
      </c>
      <c r="E1012" s="1" t="s">
        <v>1830</v>
      </c>
      <c r="F10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12" s="2" t="str">
        <f>IF(Table1[[#This Row],[Type]]="Major",Table1[[#This Row],[Major Group]],G1011)</f>
        <v>47-0000</v>
      </c>
      <c r="H1012" s="2" t="str">
        <f>IF(Table1[[#This Row],[Major Group]]&lt;&gt;"","n/a",IF(Table1[[#This Row],[Minor Group]]&lt;&gt;"",Table1[[#This Row],[Minor Group]],H1011))</f>
        <v>47-2000</v>
      </c>
      <c r="I1012" s="2" t="str">
        <f>IF(Table1[[#This Row],[Major Group]]&lt;&gt;"","n/a",IF(Table1[[#This Row],[Minor Group]]&lt;&gt;"","n/a",IF(Table1[[#This Row],[Broad Group]]&lt;&gt;"",Table1[[#This Row],[Broad Group]],I1011)))</f>
        <v>47-2120</v>
      </c>
      <c r="J10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Occupation]],J1011))))</f>
        <v>n/a</v>
      </c>
      <c r="K1012" s="2" t="str">
        <f>Table1[[#This Row],[Group Name]]</f>
        <v>Glaziers</v>
      </c>
    </row>
    <row r="1013" spans="3:11" x14ac:dyDescent="0.25">
      <c r="D1013" s="5" t="s">
        <v>1831</v>
      </c>
      <c r="E1013" s="5" t="s">
        <v>1830</v>
      </c>
      <c r="F10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13" s="2" t="str">
        <f>IF(Table1[[#This Row],[Type]]="Major",Table1[[#This Row],[Major Group]],G1012)</f>
        <v>47-0000</v>
      </c>
      <c r="H1013" s="2" t="str">
        <f>IF(Table1[[#This Row],[Major Group]]&lt;&gt;"","n/a",IF(Table1[[#This Row],[Minor Group]]&lt;&gt;"",Table1[[#This Row],[Minor Group]],H1012))</f>
        <v>47-2000</v>
      </c>
      <c r="I1013" s="2" t="str">
        <f>IF(Table1[[#This Row],[Major Group]]&lt;&gt;"","n/a",IF(Table1[[#This Row],[Minor Group]]&lt;&gt;"","n/a",IF(Table1[[#This Row],[Broad Group]]&lt;&gt;"",Table1[[#This Row],[Broad Group]],I1012)))</f>
        <v>47-2120</v>
      </c>
      <c r="J10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Occupation]],J1012))))</f>
        <v>47-2121</v>
      </c>
      <c r="K1013" s="2" t="str">
        <f>Table1[[#This Row],[Group Name]]</f>
        <v>Glaziers</v>
      </c>
    </row>
    <row r="1014" spans="3:11" x14ac:dyDescent="0.25">
      <c r="C1014" s="1" t="s">
        <v>1832</v>
      </c>
      <c r="E1014" s="1" t="s">
        <v>1833</v>
      </c>
      <c r="F10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14" s="2" t="str">
        <f>IF(Table1[[#This Row],[Type]]="Major",Table1[[#This Row],[Major Group]],G1013)</f>
        <v>47-0000</v>
      </c>
      <c r="H1014" s="2" t="str">
        <f>IF(Table1[[#This Row],[Major Group]]&lt;&gt;"","n/a",IF(Table1[[#This Row],[Minor Group]]&lt;&gt;"",Table1[[#This Row],[Minor Group]],H1013))</f>
        <v>47-2000</v>
      </c>
      <c r="I1014" s="2" t="str">
        <f>IF(Table1[[#This Row],[Major Group]]&lt;&gt;"","n/a",IF(Table1[[#This Row],[Minor Group]]&lt;&gt;"","n/a",IF(Table1[[#This Row],[Broad Group]]&lt;&gt;"",Table1[[#This Row],[Broad Group]],I1013)))</f>
        <v>47-2130</v>
      </c>
      <c r="J10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Occupation]],J1013))))</f>
        <v>n/a</v>
      </c>
      <c r="K1014" s="2" t="str">
        <f>Table1[[#This Row],[Group Name]]</f>
        <v>Insulation Workers</v>
      </c>
    </row>
    <row r="1015" spans="3:11" ht="25.5" x14ac:dyDescent="0.25">
      <c r="D1015" s="5" t="s">
        <v>1834</v>
      </c>
      <c r="E1015" s="5" t="s">
        <v>1835</v>
      </c>
      <c r="F10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15" s="2" t="str">
        <f>IF(Table1[[#This Row],[Type]]="Major",Table1[[#This Row],[Major Group]],G1014)</f>
        <v>47-0000</v>
      </c>
      <c r="H1015" s="2" t="str">
        <f>IF(Table1[[#This Row],[Major Group]]&lt;&gt;"","n/a",IF(Table1[[#This Row],[Minor Group]]&lt;&gt;"",Table1[[#This Row],[Minor Group]],H1014))</f>
        <v>47-2000</v>
      </c>
      <c r="I1015" s="2" t="str">
        <f>IF(Table1[[#This Row],[Major Group]]&lt;&gt;"","n/a",IF(Table1[[#This Row],[Minor Group]]&lt;&gt;"","n/a",IF(Table1[[#This Row],[Broad Group]]&lt;&gt;"",Table1[[#This Row],[Broad Group]],I1014)))</f>
        <v>47-2130</v>
      </c>
      <c r="J10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Occupation]],J1014))))</f>
        <v>47-2131</v>
      </c>
      <c r="K1015" s="2" t="str">
        <f>Table1[[#This Row],[Group Name]]</f>
        <v>Insulation Workers, Floor, Ceiling, and Wall</v>
      </c>
    </row>
    <row r="1016" spans="3:11" x14ac:dyDescent="0.25">
      <c r="D1016" s="5" t="s">
        <v>1836</v>
      </c>
      <c r="E1016" s="5" t="s">
        <v>1837</v>
      </c>
      <c r="F10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16" s="2" t="str">
        <f>IF(Table1[[#This Row],[Type]]="Major",Table1[[#This Row],[Major Group]],G1015)</f>
        <v>47-0000</v>
      </c>
      <c r="H1016" s="2" t="str">
        <f>IF(Table1[[#This Row],[Major Group]]&lt;&gt;"","n/a",IF(Table1[[#This Row],[Minor Group]]&lt;&gt;"",Table1[[#This Row],[Minor Group]],H1015))</f>
        <v>47-2000</v>
      </c>
      <c r="I1016" s="2" t="str">
        <f>IF(Table1[[#This Row],[Major Group]]&lt;&gt;"","n/a",IF(Table1[[#This Row],[Minor Group]]&lt;&gt;"","n/a",IF(Table1[[#This Row],[Broad Group]]&lt;&gt;"",Table1[[#This Row],[Broad Group]],I1015)))</f>
        <v>47-2130</v>
      </c>
      <c r="J10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Occupation]],J1015))))</f>
        <v>47-2132</v>
      </c>
      <c r="K1016" s="2" t="str">
        <f>Table1[[#This Row],[Group Name]]</f>
        <v>Insulation Workers, Mechanical</v>
      </c>
    </row>
    <row r="1017" spans="3:11" x14ac:dyDescent="0.25">
      <c r="C1017" s="1" t="s">
        <v>1838</v>
      </c>
      <c r="E1017" s="1" t="s">
        <v>1839</v>
      </c>
      <c r="F10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17" s="2" t="str">
        <f>IF(Table1[[#This Row],[Type]]="Major",Table1[[#This Row],[Major Group]],G1016)</f>
        <v>47-0000</v>
      </c>
      <c r="H1017" s="2" t="str">
        <f>IF(Table1[[#This Row],[Major Group]]&lt;&gt;"","n/a",IF(Table1[[#This Row],[Minor Group]]&lt;&gt;"",Table1[[#This Row],[Minor Group]],H1016))</f>
        <v>47-2000</v>
      </c>
      <c r="I1017" s="2" t="str">
        <f>IF(Table1[[#This Row],[Major Group]]&lt;&gt;"","n/a",IF(Table1[[#This Row],[Minor Group]]&lt;&gt;"","n/a",IF(Table1[[#This Row],[Broad Group]]&lt;&gt;"",Table1[[#This Row],[Broad Group]],I1016)))</f>
        <v>47-2140</v>
      </c>
      <c r="J10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Occupation]],J1016))))</f>
        <v>n/a</v>
      </c>
      <c r="K1017" s="2" t="str">
        <f>Table1[[#This Row],[Group Name]]</f>
        <v>Painters and Paperhangers</v>
      </c>
    </row>
    <row r="1018" spans="3:11" ht="25.5" x14ac:dyDescent="0.25">
      <c r="D1018" s="5" t="s">
        <v>1840</v>
      </c>
      <c r="E1018" s="5" t="s">
        <v>1841</v>
      </c>
      <c r="F10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18" s="2" t="str">
        <f>IF(Table1[[#This Row],[Type]]="Major",Table1[[#This Row],[Major Group]],G1017)</f>
        <v>47-0000</v>
      </c>
      <c r="H1018" s="2" t="str">
        <f>IF(Table1[[#This Row],[Major Group]]&lt;&gt;"","n/a",IF(Table1[[#This Row],[Minor Group]]&lt;&gt;"",Table1[[#This Row],[Minor Group]],H1017))</f>
        <v>47-2000</v>
      </c>
      <c r="I1018" s="2" t="str">
        <f>IF(Table1[[#This Row],[Major Group]]&lt;&gt;"","n/a",IF(Table1[[#This Row],[Minor Group]]&lt;&gt;"","n/a",IF(Table1[[#This Row],[Broad Group]]&lt;&gt;"",Table1[[#This Row],[Broad Group]],I1017)))</f>
        <v>47-2140</v>
      </c>
      <c r="J10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Occupation]],J1017))))</f>
        <v>47-2141</v>
      </c>
      <c r="K1018" s="2" t="str">
        <f>Table1[[#This Row],[Group Name]]</f>
        <v>Painters, Construction and Maintenance</v>
      </c>
    </row>
    <row r="1019" spans="3:11" x14ac:dyDescent="0.25">
      <c r="D1019" s="5" t="s">
        <v>1842</v>
      </c>
      <c r="E1019" s="5" t="s">
        <v>1843</v>
      </c>
      <c r="F10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19" s="2" t="str">
        <f>IF(Table1[[#This Row],[Type]]="Major",Table1[[#This Row],[Major Group]],G1018)</f>
        <v>47-0000</v>
      </c>
      <c r="H1019" s="2" t="str">
        <f>IF(Table1[[#This Row],[Major Group]]&lt;&gt;"","n/a",IF(Table1[[#This Row],[Minor Group]]&lt;&gt;"",Table1[[#This Row],[Minor Group]],H1018))</f>
        <v>47-2000</v>
      </c>
      <c r="I1019" s="2" t="str">
        <f>IF(Table1[[#This Row],[Major Group]]&lt;&gt;"","n/a",IF(Table1[[#This Row],[Minor Group]]&lt;&gt;"","n/a",IF(Table1[[#This Row],[Broad Group]]&lt;&gt;"",Table1[[#This Row],[Broad Group]],I1018)))</f>
        <v>47-2140</v>
      </c>
      <c r="J10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Occupation]],J1018))))</f>
        <v>47-2142</v>
      </c>
      <c r="K1019" s="2" t="str">
        <f>Table1[[#This Row],[Group Name]]</f>
        <v>Paperhangers</v>
      </c>
    </row>
    <row r="1020" spans="3:11" ht="30" x14ac:dyDescent="0.25">
      <c r="C1020" s="1" t="s">
        <v>1844</v>
      </c>
      <c r="E1020" s="1" t="s">
        <v>1845</v>
      </c>
      <c r="F10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20" s="2" t="str">
        <f>IF(Table1[[#This Row],[Type]]="Major",Table1[[#This Row],[Major Group]],G1019)</f>
        <v>47-0000</v>
      </c>
      <c r="H1020" s="2" t="str">
        <f>IF(Table1[[#This Row],[Major Group]]&lt;&gt;"","n/a",IF(Table1[[#This Row],[Minor Group]]&lt;&gt;"",Table1[[#This Row],[Minor Group]],H1019))</f>
        <v>47-2000</v>
      </c>
      <c r="I1020" s="2" t="str">
        <f>IF(Table1[[#This Row],[Major Group]]&lt;&gt;"","n/a",IF(Table1[[#This Row],[Minor Group]]&lt;&gt;"","n/a",IF(Table1[[#This Row],[Broad Group]]&lt;&gt;"",Table1[[#This Row],[Broad Group]],I1019)))</f>
        <v>47-2150</v>
      </c>
      <c r="J10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Occupation]],J1019))))</f>
        <v>n/a</v>
      </c>
      <c r="K1020" s="2" t="str">
        <f>Table1[[#This Row],[Group Name]]</f>
        <v>Pipelayers, Plumbers, Pipefitters, and Steamfitters</v>
      </c>
    </row>
    <row r="1021" spans="3:11" x14ac:dyDescent="0.25">
      <c r="D1021" s="5" t="s">
        <v>1846</v>
      </c>
      <c r="E1021" s="5" t="s">
        <v>1847</v>
      </c>
      <c r="F10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21" s="2" t="str">
        <f>IF(Table1[[#This Row],[Type]]="Major",Table1[[#This Row],[Major Group]],G1020)</f>
        <v>47-0000</v>
      </c>
      <c r="H1021" s="2" t="str">
        <f>IF(Table1[[#This Row],[Major Group]]&lt;&gt;"","n/a",IF(Table1[[#This Row],[Minor Group]]&lt;&gt;"",Table1[[#This Row],[Minor Group]],H1020))</f>
        <v>47-2000</v>
      </c>
      <c r="I1021" s="2" t="str">
        <f>IF(Table1[[#This Row],[Major Group]]&lt;&gt;"","n/a",IF(Table1[[#This Row],[Minor Group]]&lt;&gt;"","n/a",IF(Table1[[#This Row],[Broad Group]]&lt;&gt;"",Table1[[#This Row],[Broad Group]],I1020)))</f>
        <v>47-2150</v>
      </c>
      <c r="J10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Occupation]],J1020))))</f>
        <v>47-2151</v>
      </c>
      <c r="K1021" s="2" t="str">
        <f>Table1[[#This Row],[Group Name]]</f>
        <v>Pipelayers</v>
      </c>
    </row>
    <row r="1022" spans="3:11" x14ac:dyDescent="0.25">
      <c r="D1022" s="5" t="s">
        <v>1848</v>
      </c>
      <c r="E1022" s="5" t="s">
        <v>1849</v>
      </c>
      <c r="F10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22" s="2" t="str">
        <f>IF(Table1[[#This Row],[Type]]="Major",Table1[[#This Row],[Major Group]],G1021)</f>
        <v>47-0000</v>
      </c>
      <c r="H1022" s="2" t="str">
        <f>IF(Table1[[#This Row],[Major Group]]&lt;&gt;"","n/a",IF(Table1[[#This Row],[Minor Group]]&lt;&gt;"",Table1[[#This Row],[Minor Group]],H1021))</f>
        <v>47-2000</v>
      </c>
      <c r="I1022" s="2" t="str">
        <f>IF(Table1[[#This Row],[Major Group]]&lt;&gt;"","n/a",IF(Table1[[#This Row],[Minor Group]]&lt;&gt;"","n/a",IF(Table1[[#This Row],[Broad Group]]&lt;&gt;"",Table1[[#This Row],[Broad Group]],I1021)))</f>
        <v>47-2150</v>
      </c>
      <c r="J10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Occupation]],J1021))))</f>
        <v>47-2152</v>
      </c>
      <c r="K1022" s="2" t="str">
        <f>Table1[[#This Row],[Group Name]]</f>
        <v>Plumbers, Pipefitters, and Steamfitters</v>
      </c>
    </row>
    <row r="1023" spans="3:11" x14ac:dyDescent="0.25">
      <c r="C1023" s="1" t="s">
        <v>1850</v>
      </c>
      <c r="E1023" s="1" t="s">
        <v>1851</v>
      </c>
      <c r="F10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23" s="2" t="str">
        <f>IF(Table1[[#This Row],[Type]]="Major",Table1[[#This Row],[Major Group]],G1022)</f>
        <v>47-0000</v>
      </c>
      <c r="H1023" s="2" t="str">
        <f>IF(Table1[[#This Row],[Major Group]]&lt;&gt;"","n/a",IF(Table1[[#This Row],[Minor Group]]&lt;&gt;"",Table1[[#This Row],[Minor Group]],H1022))</f>
        <v>47-2000</v>
      </c>
      <c r="I1023" s="2" t="str">
        <f>IF(Table1[[#This Row],[Major Group]]&lt;&gt;"","n/a",IF(Table1[[#This Row],[Minor Group]]&lt;&gt;"","n/a",IF(Table1[[#This Row],[Broad Group]]&lt;&gt;"",Table1[[#This Row],[Broad Group]],I1022)))</f>
        <v>47-2160</v>
      </c>
      <c r="J10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Occupation]],J1022))))</f>
        <v>n/a</v>
      </c>
      <c r="K1023" s="2" t="str">
        <f>Table1[[#This Row],[Group Name]]</f>
        <v>Plasterers and Stucco Masons</v>
      </c>
    </row>
    <row r="1024" spans="3:11" x14ac:dyDescent="0.25">
      <c r="D1024" s="5" t="s">
        <v>1852</v>
      </c>
      <c r="E1024" s="5" t="s">
        <v>1851</v>
      </c>
      <c r="F10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24" s="2" t="str">
        <f>IF(Table1[[#This Row],[Type]]="Major",Table1[[#This Row],[Major Group]],G1023)</f>
        <v>47-0000</v>
      </c>
      <c r="H1024" s="2" t="str">
        <f>IF(Table1[[#This Row],[Major Group]]&lt;&gt;"","n/a",IF(Table1[[#This Row],[Minor Group]]&lt;&gt;"",Table1[[#This Row],[Minor Group]],H1023))</f>
        <v>47-2000</v>
      </c>
      <c r="I1024" s="2" t="str">
        <f>IF(Table1[[#This Row],[Major Group]]&lt;&gt;"","n/a",IF(Table1[[#This Row],[Minor Group]]&lt;&gt;"","n/a",IF(Table1[[#This Row],[Broad Group]]&lt;&gt;"",Table1[[#This Row],[Broad Group]],I1023)))</f>
        <v>47-2160</v>
      </c>
      <c r="J10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Occupation]],J1023))))</f>
        <v>47-2161</v>
      </c>
      <c r="K1024" s="2" t="str">
        <f>Table1[[#This Row],[Group Name]]</f>
        <v>Plasterers and Stucco Masons</v>
      </c>
    </row>
    <row r="1025" spans="2:11" ht="30" x14ac:dyDescent="0.25">
      <c r="C1025" s="1" t="s">
        <v>1853</v>
      </c>
      <c r="E1025" s="1" t="s">
        <v>1854</v>
      </c>
      <c r="F10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25" s="2" t="str">
        <f>IF(Table1[[#This Row],[Type]]="Major",Table1[[#This Row],[Major Group]],G1024)</f>
        <v>47-0000</v>
      </c>
      <c r="H1025" s="2" t="str">
        <f>IF(Table1[[#This Row],[Major Group]]&lt;&gt;"","n/a",IF(Table1[[#This Row],[Minor Group]]&lt;&gt;"",Table1[[#This Row],[Minor Group]],H1024))</f>
        <v>47-2000</v>
      </c>
      <c r="I1025" s="2" t="str">
        <f>IF(Table1[[#This Row],[Major Group]]&lt;&gt;"","n/a",IF(Table1[[#This Row],[Minor Group]]&lt;&gt;"","n/a",IF(Table1[[#This Row],[Broad Group]]&lt;&gt;"",Table1[[#This Row],[Broad Group]],I1024)))</f>
        <v>47-2170</v>
      </c>
      <c r="J10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Occupation]],J1024))))</f>
        <v>n/a</v>
      </c>
      <c r="K1025" s="2" t="str">
        <f>Table1[[#This Row],[Group Name]]</f>
        <v>Reinforcing Iron and Rebar Workers</v>
      </c>
    </row>
    <row r="1026" spans="2:11" x14ac:dyDescent="0.25">
      <c r="D1026" s="5" t="s">
        <v>1855</v>
      </c>
      <c r="E1026" s="5" t="s">
        <v>1854</v>
      </c>
      <c r="F10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26" s="2" t="str">
        <f>IF(Table1[[#This Row],[Type]]="Major",Table1[[#This Row],[Major Group]],G1025)</f>
        <v>47-0000</v>
      </c>
      <c r="H1026" s="2" t="str">
        <f>IF(Table1[[#This Row],[Major Group]]&lt;&gt;"","n/a",IF(Table1[[#This Row],[Minor Group]]&lt;&gt;"",Table1[[#This Row],[Minor Group]],H1025))</f>
        <v>47-2000</v>
      </c>
      <c r="I1026" s="2" t="str">
        <f>IF(Table1[[#This Row],[Major Group]]&lt;&gt;"","n/a",IF(Table1[[#This Row],[Minor Group]]&lt;&gt;"","n/a",IF(Table1[[#This Row],[Broad Group]]&lt;&gt;"",Table1[[#This Row],[Broad Group]],I1025)))</f>
        <v>47-2170</v>
      </c>
      <c r="J10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Occupation]],J1025))))</f>
        <v>47-2171</v>
      </c>
      <c r="K1026" s="2" t="str">
        <f>Table1[[#This Row],[Group Name]]</f>
        <v>Reinforcing Iron and Rebar Workers</v>
      </c>
    </row>
    <row r="1027" spans="2:11" x14ac:dyDescent="0.25">
      <c r="C1027" s="1" t="s">
        <v>1856</v>
      </c>
      <c r="E1027" s="1" t="s">
        <v>1857</v>
      </c>
      <c r="F10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27" s="2" t="str">
        <f>IF(Table1[[#This Row],[Type]]="Major",Table1[[#This Row],[Major Group]],G1026)</f>
        <v>47-0000</v>
      </c>
      <c r="H1027" s="2" t="str">
        <f>IF(Table1[[#This Row],[Major Group]]&lt;&gt;"","n/a",IF(Table1[[#This Row],[Minor Group]]&lt;&gt;"",Table1[[#This Row],[Minor Group]],H1026))</f>
        <v>47-2000</v>
      </c>
      <c r="I1027" s="2" t="str">
        <f>IF(Table1[[#This Row],[Major Group]]&lt;&gt;"","n/a",IF(Table1[[#This Row],[Minor Group]]&lt;&gt;"","n/a",IF(Table1[[#This Row],[Broad Group]]&lt;&gt;"",Table1[[#This Row],[Broad Group]],I1026)))</f>
        <v>47-2180</v>
      </c>
      <c r="J10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Occupation]],J1026))))</f>
        <v>n/a</v>
      </c>
      <c r="K1027" s="2" t="str">
        <f>Table1[[#This Row],[Group Name]]</f>
        <v>Roofers</v>
      </c>
    </row>
    <row r="1028" spans="2:11" x14ac:dyDescent="0.25">
      <c r="D1028" s="5" t="s">
        <v>1858</v>
      </c>
      <c r="E1028" s="5" t="s">
        <v>1857</v>
      </c>
      <c r="F10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28" s="2" t="str">
        <f>IF(Table1[[#This Row],[Type]]="Major",Table1[[#This Row],[Major Group]],G1027)</f>
        <v>47-0000</v>
      </c>
      <c r="H1028" s="2" t="str">
        <f>IF(Table1[[#This Row],[Major Group]]&lt;&gt;"","n/a",IF(Table1[[#This Row],[Minor Group]]&lt;&gt;"",Table1[[#This Row],[Minor Group]],H1027))</f>
        <v>47-2000</v>
      </c>
      <c r="I1028" s="2" t="str">
        <f>IF(Table1[[#This Row],[Major Group]]&lt;&gt;"","n/a",IF(Table1[[#This Row],[Minor Group]]&lt;&gt;"","n/a",IF(Table1[[#This Row],[Broad Group]]&lt;&gt;"",Table1[[#This Row],[Broad Group]],I1027)))</f>
        <v>47-2180</v>
      </c>
      <c r="J10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Occupation]],J1027))))</f>
        <v>47-2181</v>
      </c>
      <c r="K1028" s="2" t="str">
        <f>Table1[[#This Row],[Group Name]]</f>
        <v>Roofers</v>
      </c>
    </row>
    <row r="1029" spans="2:11" x14ac:dyDescent="0.25">
      <c r="C1029" s="1" t="s">
        <v>1859</v>
      </c>
      <c r="E1029" s="1" t="s">
        <v>1860</v>
      </c>
      <c r="F10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29" s="2" t="str">
        <f>IF(Table1[[#This Row],[Type]]="Major",Table1[[#This Row],[Major Group]],G1028)</f>
        <v>47-0000</v>
      </c>
      <c r="H1029" s="2" t="str">
        <f>IF(Table1[[#This Row],[Major Group]]&lt;&gt;"","n/a",IF(Table1[[#This Row],[Minor Group]]&lt;&gt;"",Table1[[#This Row],[Minor Group]],H1028))</f>
        <v>47-2000</v>
      </c>
      <c r="I1029" s="2" t="str">
        <f>IF(Table1[[#This Row],[Major Group]]&lt;&gt;"","n/a",IF(Table1[[#This Row],[Minor Group]]&lt;&gt;"","n/a",IF(Table1[[#This Row],[Broad Group]]&lt;&gt;"",Table1[[#This Row],[Broad Group]],I1028)))</f>
        <v>47-2210</v>
      </c>
      <c r="J10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Occupation]],J1028))))</f>
        <v>n/a</v>
      </c>
      <c r="K1029" s="2" t="str">
        <f>Table1[[#This Row],[Group Name]]</f>
        <v>Sheet Metal Workers</v>
      </c>
    </row>
    <row r="1030" spans="2:11" x14ac:dyDescent="0.25">
      <c r="D1030" s="5" t="s">
        <v>1861</v>
      </c>
      <c r="E1030" s="5" t="s">
        <v>1860</v>
      </c>
      <c r="F10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30" s="2" t="str">
        <f>IF(Table1[[#This Row],[Type]]="Major",Table1[[#This Row],[Major Group]],G1029)</f>
        <v>47-0000</v>
      </c>
      <c r="H1030" s="2" t="str">
        <f>IF(Table1[[#This Row],[Major Group]]&lt;&gt;"","n/a",IF(Table1[[#This Row],[Minor Group]]&lt;&gt;"",Table1[[#This Row],[Minor Group]],H1029))</f>
        <v>47-2000</v>
      </c>
      <c r="I1030" s="2" t="str">
        <f>IF(Table1[[#This Row],[Major Group]]&lt;&gt;"","n/a",IF(Table1[[#This Row],[Minor Group]]&lt;&gt;"","n/a",IF(Table1[[#This Row],[Broad Group]]&lt;&gt;"",Table1[[#This Row],[Broad Group]],I1029)))</f>
        <v>47-2210</v>
      </c>
      <c r="J10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Occupation]],J1029))))</f>
        <v>47-2211</v>
      </c>
      <c r="K1030" s="2" t="str">
        <f>Table1[[#This Row],[Group Name]]</f>
        <v>Sheet Metal Workers</v>
      </c>
    </row>
    <row r="1031" spans="2:11" x14ac:dyDescent="0.25">
      <c r="C1031" s="1" t="s">
        <v>1862</v>
      </c>
      <c r="E1031" s="1" t="s">
        <v>1863</v>
      </c>
      <c r="F10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31" s="2" t="str">
        <f>IF(Table1[[#This Row],[Type]]="Major",Table1[[#This Row],[Major Group]],G1030)</f>
        <v>47-0000</v>
      </c>
      <c r="H1031" s="2" t="str">
        <f>IF(Table1[[#This Row],[Major Group]]&lt;&gt;"","n/a",IF(Table1[[#This Row],[Minor Group]]&lt;&gt;"",Table1[[#This Row],[Minor Group]],H1030))</f>
        <v>47-2000</v>
      </c>
      <c r="I1031" s="2" t="str">
        <f>IF(Table1[[#This Row],[Major Group]]&lt;&gt;"","n/a",IF(Table1[[#This Row],[Minor Group]]&lt;&gt;"","n/a",IF(Table1[[#This Row],[Broad Group]]&lt;&gt;"",Table1[[#This Row],[Broad Group]],I1030)))</f>
        <v>47-2220</v>
      </c>
      <c r="J10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Occupation]],J1030))))</f>
        <v>n/a</v>
      </c>
      <c r="K1031" s="2" t="str">
        <f>Table1[[#This Row],[Group Name]]</f>
        <v>Structural Iron and Steel Workers</v>
      </c>
    </row>
    <row r="1032" spans="2:11" x14ac:dyDescent="0.25">
      <c r="D1032" s="5" t="s">
        <v>1864</v>
      </c>
      <c r="E1032" s="5" t="s">
        <v>1863</v>
      </c>
      <c r="F10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32" s="2" t="str">
        <f>IF(Table1[[#This Row],[Type]]="Major",Table1[[#This Row],[Major Group]],G1031)</f>
        <v>47-0000</v>
      </c>
      <c r="H1032" s="2" t="str">
        <f>IF(Table1[[#This Row],[Major Group]]&lt;&gt;"","n/a",IF(Table1[[#This Row],[Minor Group]]&lt;&gt;"",Table1[[#This Row],[Minor Group]],H1031))</f>
        <v>47-2000</v>
      </c>
      <c r="I1032" s="2" t="str">
        <f>IF(Table1[[#This Row],[Major Group]]&lt;&gt;"","n/a",IF(Table1[[#This Row],[Minor Group]]&lt;&gt;"","n/a",IF(Table1[[#This Row],[Broad Group]]&lt;&gt;"",Table1[[#This Row],[Broad Group]],I1031)))</f>
        <v>47-2220</v>
      </c>
      <c r="J10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Occupation]],J1031))))</f>
        <v>47-2221</v>
      </c>
      <c r="K1032" s="2" t="str">
        <f>Table1[[#This Row],[Group Name]]</f>
        <v>Structural Iron and Steel Workers</v>
      </c>
    </row>
    <row r="1033" spans="2:11" x14ac:dyDescent="0.25">
      <c r="C1033" s="1" t="s">
        <v>1865</v>
      </c>
      <c r="E1033" s="1" t="s">
        <v>1866</v>
      </c>
      <c r="F10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33" s="2" t="str">
        <f>IF(Table1[[#This Row],[Type]]="Major",Table1[[#This Row],[Major Group]],G1032)</f>
        <v>47-0000</v>
      </c>
      <c r="H1033" s="2" t="str">
        <f>IF(Table1[[#This Row],[Major Group]]&lt;&gt;"","n/a",IF(Table1[[#This Row],[Minor Group]]&lt;&gt;"",Table1[[#This Row],[Minor Group]],H1032))</f>
        <v>47-2000</v>
      </c>
      <c r="I1033" s="2" t="str">
        <f>IF(Table1[[#This Row],[Major Group]]&lt;&gt;"","n/a",IF(Table1[[#This Row],[Minor Group]]&lt;&gt;"","n/a",IF(Table1[[#This Row],[Broad Group]]&lt;&gt;"",Table1[[#This Row],[Broad Group]],I1032)))</f>
        <v>47-2230</v>
      </c>
      <c r="J10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Occupation]],J1032))))</f>
        <v>n/a</v>
      </c>
      <c r="K1033" s="2" t="str">
        <f>Table1[[#This Row],[Group Name]]</f>
        <v>Solar Photovoltaic Installers</v>
      </c>
    </row>
    <row r="1034" spans="2:11" x14ac:dyDescent="0.25">
      <c r="D1034" s="5" t="s">
        <v>1867</v>
      </c>
      <c r="E1034" s="5" t="s">
        <v>1866</v>
      </c>
      <c r="F10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34" s="2" t="str">
        <f>IF(Table1[[#This Row],[Type]]="Major",Table1[[#This Row],[Major Group]],G1033)</f>
        <v>47-0000</v>
      </c>
      <c r="H1034" s="2" t="str">
        <f>IF(Table1[[#This Row],[Major Group]]&lt;&gt;"","n/a",IF(Table1[[#This Row],[Minor Group]]&lt;&gt;"",Table1[[#This Row],[Minor Group]],H1033))</f>
        <v>47-2000</v>
      </c>
      <c r="I1034" s="2" t="str">
        <f>IF(Table1[[#This Row],[Major Group]]&lt;&gt;"","n/a",IF(Table1[[#This Row],[Minor Group]]&lt;&gt;"","n/a",IF(Table1[[#This Row],[Broad Group]]&lt;&gt;"",Table1[[#This Row],[Broad Group]],I1033)))</f>
        <v>47-2230</v>
      </c>
      <c r="J10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Occupation]],J1033))))</f>
        <v>47-2231</v>
      </c>
      <c r="K1034" s="2" t="str">
        <f>Table1[[#This Row],[Group Name]]</f>
        <v>Solar Photovoltaic Installers</v>
      </c>
    </row>
    <row r="1035" spans="2:11" x14ac:dyDescent="0.25">
      <c r="B1035" s="3" t="s">
        <v>1868</v>
      </c>
      <c r="E1035" s="3" t="s">
        <v>1869</v>
      </c>
      <c r="F10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035" s="2" t="str">
        <f>IF(Table1[[#This Row],[Type]]="Major",Table1[[#This Row],[Major Group]],G1034)</f>
        <v>47-0000</v>
      </c>
      <c r="H1035" s="2" t="str">
        <f>IF(Table1[[#This Row],[Major Group]]&lt;&gt;"","n/a",IF(Table1[[#This Row],[Minor Group]]&lt;&gt;"",Table1[[#This Row],[Minor Group]],H1034))</f>
        <v>47-3000</v>
      </c>
      <c r="I1035" s="2" t="str">
        <f>IF(Table1[[#This Row],[Major Group]]&lt;&gt;"","n/a",IF(Table1[[#This Row],[Minor Group]]&lt;&gt;"","n/a",IF(Table1[[#This Row],[Broad Group]]&lt;&gt;"",Table1[[#This Row],[Broad Group]],I1034)))</f>
        <v>n/a</v>
      </c>
      <c r="J10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Occupation]],J1034))))</f>
        <v>n/a</v>
      </c>
      <c r="K1035" s="2" t="str">
        <f>Table1[[#This Row],[Group Name]]</f>
        <v>Helpers, Construction Trades</v>
      </c>
    </row>
    <row r="1036" spans="2:11" x14ac:dyDescent="0.25">
      <c r="C1036" s="1" t="s">
        <v>1870</v>
      </c>
      <c r="E1036" s="1" t="s">
        <v>1869</v>
      </c>
      <c r="F10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36" s="2" t="str">
        <f>IF(Table1[[#This Row],[Type]]="Major",Table1[[#This Row],[Major Group]],G1035)</f>
        <v>47-0000</v>
      </c>
      <c r="H1036" s="2" t="str">
        <f>IF(Table1[[#This Row],[Major Group]]&lt;&gt;"","n/a",IF(Table1[[#This Row],[Minor Group]]&lt;&gt;"",Table1[[#This Row],[Minor Group]],H1035))</f>
        <v>47-3000</v>
      </c>
      <c r="I1036" s="2" t="str">
        <f>IF(Table1[[#This Row],[Major Group]]&lt;&gt;"","n/a",IF(Table1[[#This Row],[Minor Group]]&lt;&gt;"","n/a",IF(Table1[[#This Row],[Broad Group]]&lt;&gt;"",Table1[[#This Row],[Broad Group]],I1035)))</f>
        <v>47-3010</v>
      </c>
      <c r="J10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Occupation]],J1035))))</f>
        <v>n/a</v>
      </c>
      <c r="K1036" s="2" t="str">
        <f>Table1[[#This Row],[Group Name]]</f>
        <v>Helpers, Construction Trades</v>
      </c>
    </row>
    <row r="1037" spans="2:11" ht="38.25" x14ac:dyDescent="0.25">
      <c r="D1037" s="5" t="s">
        <v>1871</v>
      </c>
      <c r="E1037" s="5" t="s">
        <v>1872</v>
      </c>
      <c r="F10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37" s="2" t="str">
        <f>IF(Table1[[#This Row],[Type]]="Major",Table1[[#This Row],[Major Group]],G1036)</f>
        <v>47-0000</v>
      </c>
      <c r="H1037" s="2" t="str">
        <f>IF(Table1[[#This Row],[Major Group]]&lt;&gt;"","n/a",IF(Table1[[#This Row],[Minor Group]]&lt;&gt;"",Table1[[#This Row],[Minor Group]],H1036))</f>
        <v>47-3000</v>
      </c>
      <c r="I1037" s="2" t="str">
        <f>IF(Table1[[#This Row],[Major Group]]&lt;&gt;"","n/a",IF(Table1[[#This Row],[Minor Group]]&lt;&gt;"","n/a",IF(Table1[[#This Row],[Broad Group]]&lt;&gt;"",Table1[[#This Row],[Broad Group]],I1036)))</f>
        <v>47-3010</v>
      </c>
      <c r="J10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Occupation]],J1036))))</f>
        <v>47-3011</v>
      </c>
      <c r="K1037" s="2" t="str">
        <f>Table1[[#This Row],[Group Name]]</f>
        <v>Helpers--Brickmasons, Blockmasons, Stonemasons, and Tile and Marble Setters</v>
      </c>
    </row>
    <row r="1038" spans="2:11" x14ac:dyDescent="0.25">
      <c r="D1038" s="5" t="s">
        <v>1873</v>
      </c>
      <c r="E1038" s="5" t="s">
        <v>1874</v>
      </c>
      <c r="F10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38" s="2" t="str">
        <f>IF(Table1[[#This Row],[Type]]="Major",Table1[[#This Row],[Major Group]],G1037)</f>
        <v>47-0000</v>
      </c>
      <c r="H1038" s="2" t="str">
        <f>IF(Table1[[#This Row],[Major Group]]&lt;&gt;"","n/a",IF(Table1[[#This Row],[Minor Group]]&lt;&gt;"",Table1[[#This Row],[Minor Group]],H1037))</f>
        <v>47-3000</v>
      </c>
      <c r="I1038" s="2" t="str">
        <f>IF(Table1[[#This Row],[Major Group]]&lt;&gt;"","n/a",IF(Table1[[#This Row],[Minor Group]]&lt;&gt;"","n/a",IF(Table1[[#This Row],[Broad Group]]&lt;&gt;"",Table1[[#This Row],[Broad Group]],I1037)))</f>
        <v>47-3010</v>
      </c>
      <c r="J10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Occupation]],J1037))))</f>
        <v>47-3012</v>
      </c>
      <c r="K1038" s="2" t="str">
        <f>Table1[[#This Row],[Group Name]]</f>
        <v>Helpers--Carpenters</v>
      </c>
    </row>
    <row r="1039" spans="2:11" x14ac:dyDescent="0.25">
      <c r="D1039" s="5" t="s">
        <v>1875</v>
      </c>
      <c r="E1039" s="5" t="s">
        <v>1876</v>
      </c>
      <c r="F10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39" s="2" t="str">
        <f>IF(Table1[[#This Row],[Type]]="Major",Table1[[#This Row],[Major Group]],G1038)</f>
        <v>47-0000</v>
      </c>
      <c r="H1039" s="2" t="str">
        <f>IF(Table1[[#This Row],[Major Group]]&lt;&gt;"","n/a",IF(Table1[[#This Row],[Minor Group]]&lt;&gt;"",Table1[[#This Row],[Minor Group]],H1038))</f>
        <v>47-3000</v>
      </c>
      <c r="I1039" s="2" t="str">
        <f>IF(Table1[[#This Row],[Major Group]]&lt;&gt;"","n/a",IF(Table1[[#This Row],[Minor Group]]&lt;&gt;"","n/a",IF(Table1[[#This Row],[Broad Group]]&lt;&gt;"",Table1[[#This Row],[Broad Group]],I1038)))</f>
        <v>47-3010</v>
      </c>
      <c r="J10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Occupation]],J1038))))</f>
        <v>47-3013</v>
      </c>
      <c r="K1039" s="2" t="str">
        <f>Table1[[#This Row],[Group Name]]</f>
        <v>Helpers--Electricians</v>
      </c>
    </row>
    <row r="1040" spans="2:11" ht="25.5" x14ac:dyDescent="0.25">
      <c r="D1040" s="5" t="s">
        <v>1877</v>
      </c>
      <c r="E1040" s="5" t="s">
        <v>1878</v>
      </c>
      <c r="F10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40" s="2" t="str">
        <f>IF(Table1[[#This Row],[Type]]="Major",Table1[[#This Row],[Major Group]],G1039)</f>
        <v>47-0000</v>
      </c>
      <c r="H1040" s="2" t="str">
        <f>IF(Table1[[#This Row],[Major Group]]&lt;&gt;"","n/a",IF(Table1[[#This Row],[Minor Group]]&lt;&gt;"",Table1[[#This Row],[Minor Group]],H1039))</f>
        <v>47-3000</v>
      </c>
      <c r="I1040" s="2" t="str">
        <f>IF(Table1[[#This Row],[Major Group]]&lt;&gt;"","n/a",IF(Table1[[#This Row],[Minor Group]]&lt;&gt;"","n/a",IF(Table1[[#This Row],[Broad Group]]&lt;&gt;"",Table1[[#This Row],[Broad Group]],I1039)))</f>
        <v>47-3010</v>
      </c>
      <c r="J10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Occupation]],J1039))))</f>
        <v>47-3014</v>
      </c>
      <c r="K1040" s="2" t="str">
        <f>Table1[[#This Row],[Group Name]]</f>
        <v>Helpers--Painters, Paperhangers, Plasterers, and Stucco Masons</v>
      </c>
    </row>
    <row r="1041" spans="2:11" ht="25.5" x14ac:dyDescent="0.25">
      <c r="D1041" s="5" t="s">
        <v>1879</v>
      </c>
      <c r="E1041" s="5" t="s">
        <v>1880</v>
      </c>
      <c r="F10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41" s="2" t="str">
        <f>IF(Table1[[#This Row],[Type]]="Major",Table1[[#This Row],[Major Group]],G1040)</f>
        <v>47-0000</v>
      </c>
      <c r="H1041" s="2" t="str">
        <f>IF(Table1[[#This Row],[Major Group]]&lt;&gt;"","n/a",IF(Table1[[#This Row],[Minor Group]]&lt;&gt;"",Table1[[#This Row],[Minor Group]],H1040))</f>
        <v>47-3000</v>
      </c>
      <c r="I1041" s="2" t="str">
        <f>IF(Table1[[#This Row],[Major Group]]&lt;&gt;"","n/a",IF(Table1[[#This Row],[Minor Group]]&lt;&gt;"","n/a",IF(Table1[[#This Row],[Broad Group]]&lt;&gt;"",Table1[[#This Row],[Broad Group]],I1040)))</f>
        <v>47-3010</v>
      </c>
      <c r="J10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Occupation]],J1040))))</f>
        <v>47-3015</v>
      </c>
      <c r="K1041" s="2" t="str">
        <f>Table1[[#This Row],[Group Name]]</f>
        <v>Helpers--Pipelayers, Plumbers, Pipefitters, and Steamfitters</v>
      </c>
    </row>
    <row r="1042" spans="2:11" x14ac:dyDescent="0.25">
      <c r="D1042" s="5" t="s">
        <v>1881</v>
      </c>
      <c r="E1042" s="5" t="s">
        <v>1882</v>
      </c>
      <c r="F10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42" s="2" t="str">
        <f>IF(Table1[[#This Row],[Type]]="Major",Table1[[#This Row],[Major Group]],G1041)</f>
        <v>47-0000</v>
      </c>
      <c r="H1042" s="2" t="str">
        <f>IF(Table1[[#This Row],[Major Group]]&lt;&gt;"","n/a",IF(Table1[[#This Row],[Minor Group]]&lt;&gt;"",Table1[[#This Row],[Minor Group]],H1041))</f>
        <v>47-3000</v>
      </c>
      <c r="I1042" s="2" t="str">
        <f>IF(Table1[[#This Row],[Major Group]]&lt;&gt;"","n/a",IF(Table1[[#This Row],[Minor Group]]&lt;&gt;"","n/a",IF(Table1[[#This Row],[Broad Group]]&lt;&gt;"",Table1[[#This Row],[Broad Group]],I1041)))</f>
        <v>47-3010</v>
      </c>
      <c r="J10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Occupation]],J1041))))</f>
        <v>47-3016</v>
      </c>
      <c r="K1042" s="2" t="str">
        <f>Table1[[#This Row],[Group Name]]</f>
        <v>Helpers--Roofers</v>
      </c>
    </row>
    <row r="1043" spans="2:11" ht="25.5" x14ac:dyDescent="0.25">
      <c r="D1043" s="5" t="s">
        <v>1883</v>
      </c>
      <c r="E1043" s="5" t="s">
        <v>1884</v>
      </c>
      <c r="F10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43" s="2" t="str">
        <f>IF(Table1[[#This Row],[Type]]="Major",Table1[[#This Row],[Major Group]],G1042)</f>
        <v>47-0000</v>
      </c>
      <c r="H1043" s="2" t="str">
        <f>IF(Table1[[#This Row],[Major Group]]&lt;&gt;"","n/a",IF(Table1[[#This Row],[Minor Group]]&lt;&gt;"",Table1[[#This Row],[Minor Group]],H1042))</f>
        <v>47-3000</v>
      </c>
      <c r="I1043" s="2" t="str">
        <f>IF(Table1[[#This Row],[Major Group]]&lt;&gt;"","n/a",IF(Table1[[#This Row],[Minor Group]]&lt;&gt;"","n/a",IF(Table1[[#This Row],[Broad Group]]&lt;&gt;"",Table1[[#This Row],[Broad Group]],I1042)))</f>
        <v>47-3010</v>
      </c>
      <c r="J10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Occupation]],J1042))))</f>
        <v>47-3019</v>
      </c>
      <c r="K1043" s="2" t="str">
        <f>Table1[[#This Row],[Group Name]]</f>
        <v>Helpers, Construction Trades, All Other</v>
      </c>
    </row>
    <row r="1044" spans="2:11" x14ac:dyDescent="0.25">
      <c r="B1044" s="3" t="s">
        <v>1885</v>
      </c>
      <c r="E1044" s="3" t="s">
        <v>1886</v>
      </c>
      <c r="F10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044" s="2" t="str">
        <f>IF(Table1[[#This Row],[Type]]="Major",Table1[[#This Row],[Major Group]],G1043)</f>
        <v>47-0000</v>
      </c>
      <c r="H1044" s="2" t="str">
        <f>IF(Table1[[#This Row],[Major Group]]&lt;&gt;"","n/a",IF(Table1[[#This Row],[Minor Group]]&lt;&gt;"",Table1[[#This Row],[Minor Group]],H1043))</f>
        <v>47-4000</v>
      </c>
      <c r="I1044" s="2" t="str">
        <f>IF(Table1[[#This Row],[Major Group]]&lt;&gt;"","n/a",IF(Table1[[#This Row],[Minor Group]]&lt;&gt;"","n/a",IF(Table1[[#This Row],[Broad Group]]&lt;&gt;"",Table1[[#This Row],[Broad Group]],I1043)))</f>
        <v>n/a</v>
      </c>
      <c r="J10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Occupation]],J1043))))</f>
        <v>n/a</v>
      </c>
      <c r="K1044" s="2" t="str">
        <f>Table1[[#This Row],[Group Name]]</f>
        <v>Other Construction and Related Workers</v>
      </c>
    </row>
    <row r="1045" spans="2:11" ht="30" x14ac:dyDescent="0.25">
      <c r="C1045" s="1" t="s">
        <v>1887</v>
      </c>
      <c r="E1045" s="1" t="s">
        <v>1888</v>
      </c>
      <c r="F10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45" s="2" t="str">
        <f>IF(Table1[[#This Row],[Type]]="Major",Table1[[#This Row],[Major Group]],G1044)</f>
        <v>47-0000</v>
      </c>
      <c r="H1045" s="2" t="str">
        <f>IF(Table1[[#This Row],[Major Group]]&lt;&gt;"","n/a",IF(Table1[[#This Row],[Minor Group]]&lt;&gt;"",Table1[[#This Row],[Minor Group]],H1044))</f>
        <v>47-4000</v>
      </c>
      <c r="I1045" s="2" t="str">
        <f>IF(Table1[[#This Row],[Major Group]]&lt;&gt;"","n/a",IF(Table1[[#This Row],[Minor Group]]&lt;&gt;"","n/a",IF(Table1[[#This Row],[Broad Group]]&lt;&gt;"",Table1[[#This Row],[Broad Group]],I1044)))</f>
        <v>47-4010</v>
      </c>
      <c r="J10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Occupation]],J1044))))</f>
        <v>n/a</v>
      </c>
      <c r="K1045" s="2" t="str">
        <f>Table1[[#This Row],[Group Name]]</f>
        <v>Construction and Building Inspectors</v>
      </c>
    </row>
    <row r="1046" spans="2:11" x14ac:dyDescent="0.25">
      <c r="D1046" s="5" t="s">
        <v>1889</v>
      </c>
      <c r="E1046" s="5" t="s">
        <v>1888</v>
      </c>
      <c r="F10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46" s="2" t="str">
        <f>IF(Table1[[#This Row],[Type]]="Major",Table1[[#This Row],[Major Group]],G1045)</f>
        <v>47-0000</v>
      </c>
      <c r="H1046" s="2" t="str">
        <f>IF(Table1[[#This Row],[Major Group]]&lt;&gt;"","n/a",IF(Table1[[#This Row],[Minor Group]]&lt;&gt;"",Table1[[#This Row],[Minor Group]],H1045))</f>
        <v>47-4000</v>
      </c>
      <c r="I1046" s="2" t="str">
        <f>IF(Table1[[#This Row],[Major Group]]&lt;&gt;"","n/a",IF(Table1[[#This Row],[Minor Group]]&lt;&gt;"","n/a",IF(Table1[[#This Row],[Broad Group]]&lt;&gt;"",Table1[[#This Row],[Broad Group]],I1045)))</f>
        <v>47-4010</v>
      </c>
      <c r="J10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Occupation]],J1045))))</f>
        <v>47-4011</v>
      </c>
      <c r="K1046" s="2" t="str">
        <f>Table1[[#This Row],[Group Name]]</f>
        <v>Construction and Building Inspectors</v>
      </c>
    </row>
    <row r="1047" spans="2:11" ht="30" x14ac:dyDescent="0.25">
      <c r="C1047" s="1" t="s">
        <v>1890</v>
      </c>
      <c r="E1047" s="1" t="s">
        <v>1891</v>
      </c>
      <c r="F10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47" s="2" t="str">
        <f>IF(Table1[[#This Row],[Type]]="Major",Table1[[#This Row],[Major Group]],G1046)</f>
        <v>47-0000</v>
      </c>
      <c r="H1047" s="2" t="str">
        <f>IF(Table1[[#This Row],[Major Group]]&lt;&gt;"","n/a",IF(Table1[[#This Row],[Minor Group]]&lt;&gt;"",Table1[[#This Row],[Minor Group]],H1046))</f>
        <v>47-4000</v>
      </c>
      <c r="I1047" s="2" t="str">
        <f>IF(Table1[[#This Row],[Major Group]]&lt;&gt;"","n/a",IF(Table1[[#This Row],[Minor Group]]&lt;&gt;"","n/a",IF(Table1[[#This Row],[Broad Group]]&lt;&gt;"",Table1[[#This Row],[Broad Group]],I1046)))</f>
        <v>47-4020</v>
      </c>
      <c r="J10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Occupation]],J1046))))</f>
        <v>n/a</v>
      </c>
      <c r="K1047" s="2" t="str">
        <f>Table1[[#This Row],[Group Name]]</f>
        <v>Elevator and Escalator Installers and Repairers</v>
      </c>
    </row>
    <row r="1048" spans="2:11" ht="25.5" x14ac:dyDescent="0.25">
      <c r="D1048" s="5" t="s">
        <v>1892</v>
      </c>
      <c r="E1048" s="5" t="s">
        <v>1891</v>
      </c>
      <c r="F10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48" s="2" t="str">
        <f>IF(Table1[[#This Row],[Type]]="Major",Table1[[#This Row],[Major Group]],G1047)</f>
        <v>47-0000</v>
      </c>
      <c r="H1048" s="2" t="str">
        <f>IF(Table1[[#This Row],[Major Group]]&lt;&gt;"","n/a",IF(Table1[[#This Row],[Minor Group]]&lt;&gt;"",Table1[[#This Row],[Minor Group]],H1047))</f>
        <v>47-4000</v>
      </c>
      <c r="I1048" s="2" t="str">
        <f>IF(Table1[[#This Row],[Major Group]]&lt;&gt;"","n/a",IF(Table1[[#This Row],[Minor Group]]&lt;&gt;"","n/a",IF(Table1[[#This Row],[Broad Group]]&lt;&gt;"",Table1[[#This Row],[Broad Group]],I1047)))</f>
        <v>47-4020</v>
      </c>
      <c r="J10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Occupation]],J1047))))</f>
        <v>47-4021</v>
      </c>
      <c r="K1048" s="2" t="str">
        <f>Table1[[#This Row],[Group Name]]</f>
        <v>Elevator and Escalator Installers and Repairers</v>
      </c>
    </row>
    <row r="1049" spans="2:11" x14ac:dyDescent="0.25">
      <c r="C1049" s="1" t="s">
        <v>1893</v>
      </c>
      <c r="E1049" s="1" t="s">
        <v>1894</v>
      </c>
      <c r="F10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49" s="2" t="str">
        <f>IF(Table1[[#This Row],[Type]]="Major",Table1[[#This Row],[Major Group]],G1048)</f>
        <v>47-0000</v>
      </c>
      <c r="H1049" s="2" t="str">
        <f>IF(Table1[[#This Row],[Major Group]]&lt;&gt;"","n/a",IF(Table1[[#This Row],[Minor Group]]&lt;&gt;"",Table1[[#This Row],[Minor Group]],H1048))</f>
        <v>47-4000</v>
      </c>
      <c r="I1049" s="2" t="str">
        <f>IF(Table1[[#This Row],[Major Group]]&lt;&gt;"","n/a",IF(Table1[[#This Row],[Minor Group]]&lt;&gt;"","n/a",IF(Table1[[#This Row],[Broad Group]]&lt;&gt;"",Table1[[#This Row],[Broad Group]],I1048)))</f>
        <v>47-4030</v>
      </c>
      <c r="J10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Occupation]],J1048))))</f>
        <v>n/a</v>
      </c>
      <c r="K1049" s="2" t="str">
        <f>Table1[[#This Row],[Group Name]]</f>
        <v>Fence Erectors</v>
      </c>
    </row>
    <row r="1050" spans="2:11" x14ac:dyDescent="0.25">
      <c r="D1050" s="5" t="s">
        <v>1895</v>
      </c>
      <c r="E1050" s="5" t="s">
        <v>1894</v>
      </c>
      <c r="F10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50" s="2" t="str">
        <f>IF(Table1[[#This Row],[Type]]="Major",Table1[[#This Row],[Major Group]],G1049)</f>
        <v>47-0000</v>
      </c>
      <c r="H1050" s="2" t="str">
        <f>IF(Table1[[#This Row],[Major Group]]&lt;&gt;"","n/a",IF(Table1[[#This Row],[Minor Group]]&lt;&gt;"",Table1[[#This Row],[Minor Group]],H1049))</f>
        <v>47-4000</v>
      </c>
      <c r="I1050" s="2" t="str">
        <f>IF(Table1[[#This Row],[Major Group]]&lt;&gt;"","n/a",IF(Table1[[#This Row],[Minor Group]]&lt;&gt;"","n/a",IF(Table1[[#This Row],[Broad Group]]&lt;&gt;"",Table1[[#This Row],[Broad Group]],I1049)))</f>
        <v>47-4030</v>
      </c>
      <c r="J10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Occupation]],J1049))))</f>
        <v>47-4031</v>
      </c>
      <c r="K1050" s="2" t="str">
        <f>Table1[[#This Row],[Group Name]]</f>
        <v>Fence Erectors</v>
      </c>
    </row>
    <row r="1051" spans="2:11" ht="30" x14ac:dyDescent="0.25">
      <c r="C1051" s="1" t="s">
        <v>1896</v>
      </c>
      <c r="E1051" s="1" t="s">
        <v>1897</v>
      </c>
      <c r="F10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51" s="2" t="str">
        <f>IF(Table1[[#This Row],[Type]]="Major",Table1[[#This Row],[Major Group]],G1050)</f>
        <v>47-0000</v>
      </c>
      <c r="H1051" s="2" t="str">
        <f>IF(Table1[[#This Row],[Major Group]]&lt;&gt;"","n/a",IF(Table1[[#This Row],[Minor Group]]&lt;&gt;"",Table1[[#This Row],[Minor Group]],H1050))</f>
        <v>47-4000</v>
      </c>
      <c r="I1051" s="2" t="str">
        <f>IF(Table1[[#This Row],[Major Group]]&lt;&gt;"","n/a",IF(Table1[[#This Row],[Minor Group]]&lt;&gt;"","n/a",IF(Table1[[#This Row],[Broad Group]]&lt;&gt;"",Table1[[#This Row],[Broad Group]],I1050)))</f>
        <v>47-4040</v>
      </c>
      <c r="J10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Occupation]],J1050))))</f>
        <v>n/a</v>
      </c>
      <c r="K1051" s="2" t="str">
        <f>Table1[[#This Row],[Group Name]]</f>
        <v>Hazardous Materials Removal Workers</v>
      </c>
    </row>
    <row r="1052" spans="2:11" ht="25.5" x14ac:dyDescent="0.25">
      <c r="D1052" s="5" t="s">
        <v>1898</v>
      </c>
      <c r="E1052" s="5" t="s">
        <v>1897</v>
      </c>
      <c r="F10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52" s="2" t="str">
        <f>IF(Table1[[#This Row],[Type]]="Major",Table1[[#This Row],[Major Group]],G1051)</f>
        <v>47-0000</v>
      </c>
      <c r="H1052" s="2" t="str">
        <f>IF(Table1[[#This Row],[Major Group]]&lt;&gt;"","n/a",IF(Table1[[#This Row],[Minor Group]]&lt;&gt;"",Table1[[#This Row],[Minor Group]],H1051))</f>
        <v>47-4000</v>
      </c>
      <c r="I1052" s="2" t="str">
        <f>IF(Table1[[#This Row],[Major Group]]&lt;&gt;"","n/a",IF(Table1[[#This Row],[Minor Group]]&lt;&gt;"","n/a",IF(Table1[[#This Row],[Broad Group]]&lt;&gt;"",Table1[[#This Row],[Broad Group]],I1051)))</f>
        <v>47-4040</v>
      </c>
      <c r="J10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Occupation]],J1051))))</f>
        <v>47-4041</v>
      </c>
      <c r="K1052" s="2" t="str">
        <f>Table1[[#This Row],[Group Name]]</f>
        <v>Hazardous Materials Removal Workers</v>
      </c>
    </row>
    <row r="1053" spans="2:11" x14ac:dyDescent="0.25">
      <c r="C1053" s="1" t="s">
        <v>1899</v>
      </c>
      <c r="E1053" s="1" t="s">
        <v>1900</v>
      </c>
      <c r="F10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53" s="2" t="str">
        <f>IF(Table1[[#This Row],[Type]]="Major",Table1[[#This Row],[Major Group]],G1052)</f>
        <v>47-0000</v>
      </c>
      <c r="H1053" s="2" t="str">
        <f>IF(Table1[[#This Row],[Major Group]]&lt;&gt;"","n/a",IF(Table1[[#This Row],[Minor Group]]&lt;&gt;"",Table1[[#This Row],[Minor Group]],H1052))</f>
        <v>47-4000</v>
      </c>
      <c r="I1053" s="2" t="str">
        <f>IF(Table1[[#This Row],[Major Group]]&lt;&gt;"","n/a",IF(Table1[[#This Row],[Minor Group]]&lt;&gt;"","n/a",IF(Table1[[#This Row],[Broad Group]]&lt;&gt;"",Table1[[#This Row],[Broad Group]],I1052)))</f>
        <v>47-4050</v>
      </c>
      <c r="J10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Occupation]],J1052))))</f>
        <v>n/a</v>
      </c>
      <c r="K1053" s="2" t="str">
        <f>Table1[[#This Row],[Group Name]]</f>
        <v>Highway Maintenance Workers</v>
      </c>
    </row>
    <row r="1054" spans="2:11" x14ac:dyDescent="0.25">
      <c r="D1054" s="5" t="s">
        <v>1901</v>
      </c>
      <c r="E1054" s="5" t="s">
        <v>1900</v>
      </c>
      <c r="F10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54" s="2" t="str">
        <f>IF(Table1[[#This Row],[Type]]="Major",Table1[[#This Row],[Major Group]],G1053)</f>
        <v>47-0000</v>
      </c>
      <c r="H1054" s="2" t="str">
        <f>IF(Table1[[#This Row],[Major Group]]&lt;&gt;"","n/a",IF(Table1[[#This Row],[Minor Group]]&lt;&gt;"",Table1[[#This Row],[Minor Group]],H1053))</f>
        <v>47-4000</v>
      </c>
      <c r="I1054" s="2" t="str">
        <f>IF(Table1[[#This Row],[Major Group]]&lt;&gt;"","n/a",IF(Table1[[#This Row],[Minor Group]]&lt;&gt;"","n/a",IF(Table1[[#This Row],[Broad Group]]&lt;&gt;"",Table1[[#This Row],[Broad Group]],I1053)))</f>
        <v>47-4050</v>
      </c>
      <c r="J10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Occupation]],J1053))))</f>
        <v>47-4051</v>
      </c>
      <c r="K1054" s="2" t="str">
        <f>Table1[[#This Row],[Group Name]]</f>
        <v>Highway Maintenance Workers</v>
      </c>
    </row>
    <row r="1055" spans="2:11" ht="30" x14ac:dyDescent="0.25">
      <c r="C1055" s="1" t="s">
        <v>1902</v>
      </c>
      <c r="E1055" s="1" t="s">
        <v>1903</v>
      </c>
      <c r="F10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55" s="2" t="str">
        <f>IF(Table1[[#This Row],[Type]]="Major",Table1[[#This Row],[Major Group]],G1054)</f>
        <v>47-0000</v>
      </c>
      <c r="H1055" s="2" t="str">
        <f>IF(Table1[[#This Row],[Major Group]]&lt;&gt;"","n/a",IF(Table1[[#This Row],[Minor Group]]&lt;&gt;"",Table1[[#This Row],[Minor Group]],H1054))</f>
        <v>47-4000</v>
      </c>
      <c r="I1055" s="2" t="str">
        <f>IF(Table1[[#This Row],[Major Group]]&lt;&gt;"","n/a",IF(Table1[[#This Row],[Minor Group]]&lt;&gt;"","n/a",IF(Table1[[#This Row],[Broad Group]]&lt;&gt;"",Table1[[#This Row],[Broad Group]],I1054)))</f>
        <v>47-4060</v>
      </c>
      <c r="J10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Occupation]],J1054))))</f>
        <v>n/a</v>
      </c>
      <c r="K1055" s="2" t="str">
        <f>Table1[[#This Row],[Group Name]]</f>
        <v>Rail-Track Laying and Maintenance Equipment Operators</v>
      </c>
    </row>
    <row r="1056" spans="2:11" ht="25.5" x14ac:dyDescent="0.25">
      <c r="D1056" s="5" t="s">
        <v>1904</v>
      </c>
      <c r="E1056" s="5" t="s">
        <v>1903</v>
      </c>
      <c r="F10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56" s="2" t="str">
        <f>IF(Table1[[#This Row],[Type]]="Major",Table1[[#This Row],[Major Group]],G1055)</f>
        <v>47-0000</v>
      </c>
      <c r="H1056" s="2" t="str">
        <f>IF(Table1[[#This Row],[Major Group]]&lt;&gt;"","n/a",IF(Table1[[#This Row],[Minor Group]]&lt;&gt;"",Table1[[#This Row],[Minor Group]],H1055))</f>
        <v>47-4000</v>
      </c>
      <c r="I1056" s="2" t="str">
        <f>IF(Table1[[#This Row],[Major Group]]&lt;&gt;"","n/a",IF(Table1[[#This Row],[Minor Group]]&lt;&gt;"","n/a",IF(Table1[[#This Row],[Broad Group]]&lt;&gt;"",Table1[[#This Row],[Broad Group]],I1055)))</f>
        <v>47-4060</v>
      </c>
      <c r="J10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Occupation]],J1055))))</f>
        <v>47-4061</v>
      </c>
      <c r="K1056" s="2" t="str">
        <f>Table1[[#This Row],[Group Name]]</f>
        <v>Rail-Track Laying and Maintenance Equipment Operators</v>
      </c>
    </row>
    <row r="1057" spans="2:11" ht="30" x14ac:dyDescent="0.25">
      <c r="C1057" s="1" t="s">
        <v>1905</v>
      </c>
      <c r="E1057" s="1" t="s">
        <v>1906</v>
      </c>
      <c r="F10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57" s="2" t="str">
        <f>IF(Table1[[#This Row],[Type]]="Major",Table1[[#This Row],[Major Group]],G1056)</f>
        <v>47-0000</v>
      </c>
      <c r="H1057" s="2" t="str">
        <f>IF(Table1[[#This Row],[Major Group]]&lt;&gt;"","n/a",IF(Table1[[#This Row],[Minor Group]]&lt;&gt;"",Table1[[#This Row],[Minor Group]],H1056))</f>
        <v>47-4000</v>
      </c>
      <c r="I1057" s="2" t="str">
        <f>IF(Table1[[#This Row],[Major Group]]&lt;&gt;"","n/a",IF(Table1[[#This Row],[Minor Group]]&lt;&gt;"","n/a",IF(Table1[[#This Row],[Broad Group]]&lt;&gt;"",Table1[[#This Row],[Broad Group]],I1056)))</f>
        <v>47-4070</v>
      </c>
      <c r="J10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Occupation]],J1056))))</f>
        <v>n/a</v>
      </c>
      <c r="K1057" s="2" t="str">
        <f>Table1[[#This Row],[Group Name]]</f>
        <v>Septic Tank Servicers and Sewer Pipe Cleaners</v>
      </c>
    </row>
    <row r="1058" spans="2:11" ht="25.5" x14ac:dyDescent="0.25">
      <c r="D1058" s="5" t="s">
        <v>1907</v>
      </c>
      <c r="E1058" s="5" t="s">
        <v>1906</v>
      </c>
      <c r="F10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58" s="2" t="str">
        <f>IF(Table1[[#This Row],[Type]]="Major",Table1[[#This Row],[Major Group]],G1057)</f>
        <v>47-0000</v>
      </c>
      <c r="H1058" s="2" t="str">
        <f>IF(Table1[[#This Row],[Major Group]]&lt;&gt;"","n/a",IF(Table1[[#This Row],[Minor Group]]&lt;&gt;"",Table1[[#This Row],[Minor Group]],H1057))</f>
        <v>47-4000</v>
      </c>
      <c r="I1058" s="2" t="str">
        <f>IF(Table1[[#This Row],[Major Group]]&lt;&gt;"","n/a",IF(Table1[[#This Row],[Minor Group]]&lt;&gt;"","n/a",IF(Table1[[#This Row],[Broad Group]]&lt;&gt;"",Table1[[#This Row],[Broad Group]],I1057)))</f>
        <v>47-4070</v>
      </c>
      <c r="J10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Occupation]],J1057))))</f>
        <v>47-4071</v>
      </c>
      <c r="K1058" s="2" t="str">
        <f>Table1[[#This Row],[Group Name]]</f>
        <v>Septic Tank Servicers and Sewer Pipe Cleaners</v>
      </c>
    </row>
    <row r="1059" spans="2:11" ht="30" x14ac:dyDescent="0.25">
      <c r="C1059" s="1" t="s">
        <v>1908</v>
      </c>
      <c r="E1059" s="1" t="s">
        <v>1909</v>
      </c>
      <c r="F10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59" s="2" t="str">
        <f>IF(Table1[[#This Row],[Type]]="Major",Table1[[#This Row],[Major Group]],G1058)</f>
        <v>47-0000</v>
      </c>
      <c r="H1059" s="2" t="str">
        <f>IF(Table1[[#This Row],[Major Group]]&lt;&gt;"","n/a",IF(Table1[[#This Row],[Minor Group]]&lt;&gt;"",Table1[[#This Row],[Minor Group]],H1058))</f>
        <v>47-4000</v>
      </c>
      <c r="I1059" s="2" t="str">
        <f>IF(Table1[[#This Row],[Major Group]]&lt;&gt;"","n/a",IF(Table1[[#This Row],[Minor Group]]&lt;&gt;"","n/a",IF(Table1[[#This Row],[Broad Group]]&lt;&gt;"",Table1[[#This Row],[Broad Group]],I1058)))</f>
        <v>47-4090</v>
      </c>
      <c r="J10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Occupation]],J1058))))</f>
        <v>n/a</v>
      </c>
      <c r="K1059" s="2" t="str">
        <f>Table1[[#This Row],[Group Name]]</f>
        <v>Miscellaneous Construction and Related Workers</v>
      </c>
    </row>
    <row r="1060" spans="2:11" x14ac:dyDescent="0.25">
      <c r="D1060" s="5" t="s">
        <v>1910</v>
      </c>
      <c r="E1060" s="5" t="s">
        <v>1911</v>
      </c>
      <c r="F10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0" s="2" t="str">
        <f>IF(Table1[[#This Row],[Type]]="Major",Table1[[#This Row],[Major Group]],G1059)</f>
        <v>47-0000</v>
      </c>
      <c r="H1060" s="2" t="str">
        <f>IF(Table1[[#This Row],[Major Group]]&lt;&gt;"","n/a",IF(Table1[[#This Row],[Minor Group]]&lt;&gt;"",Table1[[#This Row],[Minor Group]],H1059))</f>
        <v>47-4000</v>
      </c>
      <c r="I1060" s="2" t="str">
        <f>IF(Table1[[#This Row],[Major Group]]&lt;&gt;"","n/a",IF(Table1[[#This Row],[Minor Group]]&lt;&gt;"","n/a",IF(Table1[[#This Row],[Broad Group]]&lt;&gt;"",Table1[[#This Row],[Broad Group]],I1059)))</f>
        <v>47-4090</v>
      </c>
      <c r="J10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Occupation]],J1059))))</f>
        <v>47-4091</v>
      </c>
      <c r="K1060" s="2" t="str">
        <f>Table1[[#This Row],[Group Name]]</f>
        <v>Segmental Pavers</v>
      </c>
    </row>
    <row r="1061" spans="2:11" ht="25.5" x14ac:dyDescent="0.25">
      <c r="D1061" s="5" t="s">
        <v>1912</v>
      </c>
      <c r="E1061" s="5" t="s">
        <v>1913</v>
      </c>
      <c r="F10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1" s="2" t="str">
        <f>IF(Table1[[#This Row],[Type]]="Major",Table1[[#This Row],[Major Group]],G1060)</f>
        <v>47-0000</v>
      </c>
      <c r="H1061" s="2" t="str">
        <f>IF(Table1[[#This Row],[Major Group]]&lt;&gt;"","n/a",IF(Table1[[#This Row],[Minor Group]]&lt;&gt;"",Table1[[#This Row],[Minor Group]],H1060))</f>
        <v>47-4000</v>
      </c>
      <c r="I1061" s="2" t="str">
        <f>IF(Table1[[#This Row],[Major Group]]&lt;&gt;"","n/a",IF(Table1[[#This Row],[Minor Group]]&lt;&gt;"","n/a",IF(Table1[[#This Row],[Broad Group]]&lt;&gt;"",Table1[[#This Row],[Broad Group]],I1060)))</f>
        <v>47-4090</v>
      </c>
      <c r="J10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Occupation]],J1060))))</f>
        <v>47-4099</v>
      </c>
      <c r="K1061" s="2" t="str">
        <f>Table1[[#This Row],[Group Name]]</f>
        <v>Construction and Related Workers, All Other</v>
      </c>
    </row>
    <row r="1062" spans="2:11" x14ac:dyDescent="0.25">
      <c r="B1062" s="3" t="s">
        <v>1914</v>
      </c>
      <c r="E1062" s="3" t="s">
        <v>1915</v>
      </c>
      <c r="F10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062" s="2" t="str">
        <f>IF(Table1[[#This Row],[Type]]="Major",Table1[[#This Row],[Major Group]],G1061)</f>
        <v>47-0000</v>
      </c>
      <c r="H1062" s="2" t="str">
        <f>IF(Table1[[#This Row],[Major Group]]&lt;&gt;"","n/a",IF(Table1[[#This Row],[Minor Group]]&lt;&gt;"",Table1[[#This Row],[Minor Group]],H1061))</f>
        <v>47-5000</v>
      </c>
      <c r="I1062" s="2" t="str">
        <f>IF(Table1[[#This Row],[Major Group]]&lt;&gt;"","n/a",IF(Table1[[#This Row],[Minor Group]]&lt;&gt;"","n/a",IF(Table1[[#This Row],[Broad Group]]&lt;&gt;"",Table1[[#This Row],[Broad Group]],I1061)))</f>
        <v>n/a</v>
      </c>
      <c r="J10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Occupation]],J1061))))</f>
        <v>n/a</v>
      </c>
      <c r="K1062" s="2" t="str">
        <f>Table1[[#This Row],[Group Name]]</f>
        <v>Extraction Workers</v>
      </c>
    </row>
    <row r="1063" spans="2:11" ht="30" x14ac:dyDescent="0.25">
      <c r="C1063" s="1" t="s">
        <v>1916</v>
      </c>
      <c r="E1063" s="1" t="s">
        <v>1917</v>
      </c>
      <c r="F10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63" s="2" t="str">
        <f>IF(Table1[[#This Row],[Type]]="Major",Table1[[#This Row],[Major Group]],G1062)</f>
        <v>47-0000</v>
      </c>
      <c r="H1063" s="2" t="str">
        <f>IF(Table1[[#This Row],[Major Group]]&lt;&gt;"","n/a",IF(Table1[[#This Row],[Minor Group]]&lt;&gt;"",Table1[[#This Row],[Minor Group]],H1062))</f>
        <v>47-5000</v>
      </c>
      <c r="I1063" s="2" t="str">
        <f>IF(Table1[[#This Row],[Major Group]]&lt;&gt;"","n/a",IF(Table1[[#This Row],[Minor Group]]&lt;&gt;"","n/a",IF(Table1[[#This Row],[Broad Group]]&lt;&gt;"",Table1[[#This Row],[Broad Group]],I1062)))</f>
        <v>47-5010</v>
      </c>
      <c r="J10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Occupation]],J1062))))</f>
        <v>n/a</v>
      </c>
      <c r="K1063" s="2" t="str">
        <f>Table1[[#This Row],[Group Name]]</f>
        <v>Derrick, Rotary Drill, and Service Unit Operators, Oil and Gas</v>
      </c>
    </row>
    <row r="1064" spans="2:11" x14ac:dyDescent="0.25">
      <c r="D1064" s="5" t="s">
        <v>1918</v>
      </c>
      <c r="E1064" s="5" t="s">
        <v>1919</v>
      </c>
      <c r="F10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4" s="2" t="str">
        <f>IF(Table1[[#This Row],[Type]]="Major",Table1[[#This Row],[Major Group]],G1063)</f>
        <v>47-0000</v>
      </c>
      <c r="H1064" s="2" t="str">
        <f>IF(Table1[[#This Row],[Major Group]]&lt;&gt;"","n/a",IF(Table1[[#This Row],[Minor Group]]&lt;&gt;"",Table1[[#This Row],[Minor Group]],H1063))</f>
        <v>47-5000</v>
      </c>
      <c r="I1064" s="2" t="str">
        <f>IF(Table1[[#This Row],[Major Group]]&lt;&gt;"","n/a",IF(Table1[[#This Row],[Minor Group]]&lt;&gt;"","n/a",IF(Table1[[#This Row],[Broad Group]]&lt;&gt;"",Table1[[#This Row],[Broad Group]],I1063)))</f>
        <v>47-5010</v>
      </c>
      <c r="J10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Occupation]],J1063))))</f>
        <v>47-5011</v>
      </c>
      <c r="K1064" s="2" t="str">
        <f>Table1[[#This Row],[Group Name]]</f>
        <v>Derrick Operators, Oil and Gas</v>
      </c>
    </row>
    <row r="1065" spans="2:11" x14ac:dyDescent="0.25">
      <c r="D1065" s="5" t="s">
        <v>1920</v>
      </c>
      <c r="E1065" s="5" t="s">
        <v>1921</v>
      </c>
      <c r="F10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5" s="2" t="str">
        <f>IF(Table1[[#This Row],[Type]]="Major",Table1[[#This Row],[Major Group]],G1064)</f>
        <v>47-0000</v>
      </c>
      <c r="H1065" s="2" t="str">
        <f>IF(Table1[[#This Row],[Major Group]]&lt;&gt;"","n/a",IF(Table1[[#This Row],[Minor Group]]&lt;&gt;"",Table1[[#This Row],[Minor Group]],H1064))</f>
        <v>47-5000</v>
      </c>
      <c r="I1065" s="2" t="str">
        <f>IF(Table1[[#This Row],[Major Group]]&lt;&gt;"","n/a",IF(Table1[[#This Row],[Minor Group]]&lt;&gt;"","n/a",IF(Table1[[#This Row],[Broad Group]]&lt;&gt;"",Table1[[#This Row],[Broad Group]],I1064)))</f>
        <v>47-5010</v>
      </c>
      <c r="J10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Occupation]],J1064))))</f>
        <v>47-5012</v>
      </c>
      <c r="K1065" s="2" t="str">
        <f>Table1[[#This Row],[Group Name]]</f>
        <v>Rotary Drill Operators, Oil and Gas</v>
      </c>
    </row>
    <row r="1066" spans="2:11" x14ac:dyDescent="0.25">
      <c r="D1066" s="5" t="s">
        <v>1922</v>
      </c>
      <c r="E1066" s="5" t="s">
        <v>1923</v>
      </c>
      <c r="F10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6" s="2" t="str">
        <f>IF(Table1[[#This Row],[Type]]="Major",Table1[[#This Row],[Major Group]],G1065)</f>
        <v>47-0000</v>
      </c>
      <c r="H1066" s="2" t="str">
        <f>IF(Table1[[#This Row],[Major Group]]&lt;&gt;"","n/a",IF(Table1[[#This Row],[Minor Group]]&lt;&gt;"",Table1[[#This Row],[Minor Group]],H1065))</f>
        <v>47-5000</v>
      </c>
      <c r="I1066" s="2" t="str">
        <f>IF(Table1[[#This Row],[Major Group]]&lt;&gt;"","n/a",IF(Table1[[#This Row],[Minor Group]]&lt;&gt;"","n/a",IF(Table1[[#This Row],[Broad Group]]&lt;&gt;"",Table1[[#This Row],[Broad Group]],I1065)))</f>
        <v>47-5010</v>
      </c>
      <c r="J10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Occupation]],J1065))))</f>
        <v>47-5013</v>
      </c>
      <c r="K1066" s="2" t="str">
        <f>Table1[[#This Row],[Group Name]]</f>
        <v>Service Unit Operators, Oil and Gas</v>
      </c>
    </row>
    <row r="1067" spans="2:11" ht="30" x14ac:dyDescent="0.25">
      <c r="C1067" s="1" t="s">
        <v>1924</v>
      </c>
      <c r="E1067" s="1" t="s">
        <v>1925</v>
      </c>
      <c r="F10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67" s="2" t="str">
        <f>IF(Table1[[#This Row],[Type]]="Major",Table1[[#This Row],[Major Group]],G1066)</f>
        <v>47-0000</v>
      </c>
      <c r="H1067" s="2" t="str">
        <f>IF(Table1[[#This Row],[Major Group]]&lt;&gt;"","n/a",IF(Table1[[#This Row],[Minor Group]]&lt;&gt;"",Table1[[#This Row],[Minor Group]],H1066))</f>
        <v>47-5000</v>
      </c>
      <c r="I1067" s="2" t="str">
        <f>IF(Table1[[#This Row],[Major Group]]&lt;&gt;"","n/a",IF(Table1[[#This Row],[Minor Group]]&lt;&gt;"","n/a",IF(Table1[[#This Row],[Broad Group]]&lt;&gt;"",Table1[[#This Row],[Broad Group]],I1066)))</f>
        <v>47-5020</v>
      </c>
      <c r="J10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Occupation]],J1066))))</f>
        <v>n/a</v>
      </c>
      <c r="K1067" s="2" t="str">
        <f>Table1[[#This Row],[Group Name]]</f>
        <v>Surface Mining Machine Operators and Earth Drillers</v>
      </c>
    </row>
    <row r="1068" spans="2:11" ht="25.5" x14ac:dyDescent="0.25">
      <c r="D1068" s="5" t="s">
        <v>1926</v>
      </c>
      <c r="E1068" s="5" t="s">
        <v>1927</v>
      </c>
      <c r="F10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8" s="2" t="str">
        <f>IF(Table1[[#This Row],[Type]]="Major",Table1[[#This Row],[Major Group]],G1067)</f>
        <v>47-0000</v>
      </c>
      <c r="H1068" s="2" t="str">
        <f>IF(Table1[[#This Row],[Major Group]]&lt;&gt;"","n/a",IF(Table1[[#This Row],[Minor Group]]&lt;&gt;"",Table1[[#This Row],[Minor Group]],H1067))</f>
        <v>47-5000</v>
      </c>
      <c r="I1068" s="2" t="str">
        <f>IF(Table1[[#This Row],[Major Group]]&lt;&gt;"","n/a",IF(Table1[[#This Row],[Minor Group]]&lt;&gt;"","n/a",IF(Table1[[#This Row],[Broad Group]]&lt;&gt;"",Table1[[#This Row],[Broad Group]],I1067)))</f>
        <v>47-5020</v>
      </c>
      <c r="J10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Occupation]],J1067))))</f>
        <v>47-5022</v>
      </c>
      <c r="K1068" s="2" t="str">
        <f>Table1[[#This Row],[Group Name]]</f>
        <v>Excavating and Loading Machine and Dragline Operators, Surface Mining</v>
      </c>
    </row>
    <row r="1069" spans="2:11" x14ac:dyDescent="0.25">
      <c r="D1069" s="5" t="s">
        <v>1928</v>
      </c>
      <c r="E1069" s="5" t="s">
        <v>1929</v>
      </c>
      <c r="F10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69" s="2" t="str">
        <f>IF(Table1[[#This Row],[Type]]="Major",Table1[[#This Row],[Major Group]],G1068)</f>
        <v>47-0000</v>
      </c>
      <c r="H1069" s="2" t="str">
        <f>IF(Table1[[#This Row],[Major Group]]&lt;&gt;"","n/a",IF(Table1[[#This Row],[Minor Group]]&lt;&gt;"",Table1[[#This Row],[Minor Group]],H1068))</f>
        <v>47-5000</v>
      </c>
      <c r="I1069" s="2" t="str">
        <f>IF(Table1[[#This Row],[Major Group]]&lt;&gt;"","n/a",IF(Table1[[#This Row],[Minor Group]]&lt;&gt;"","n/a",IF(Table1[[#This Row],[Broad Group]]&lt;&gt;"",Table1[[#This Row],[Broad Group]],I1068)))</f>
        <v>47-5020</v>
      </c>
      <c r="J10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Occupation]],J1068))))</f>
        <v>47-5023</v>
      </c>
      <c r="K1069" s="2" t="str">
        <f>Table1[[#This Row],[Group Name]]</f>
        <v>Earth Drillers, Except Oil and Gas</v>
      </c>
    </row>
    <row r="1070" spans="2:11" ht="30" x14ac:dyDescent="0.25">
      <c r="C1070" s="1" t="s">
        <v>1930</v>
      </c>
      <c r="E1070" s="1" t="s">
        <v>1931</v>
      </c>
      <c r="F10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70" s="2" t="str">
        <f>IF(Table1[[#This Row],[Type]]="Major",Table1[[#This Row],[Major Group]],G1069)</f>
        <v>47-0000</v>
      </c>
      <c r="H1070" s="2" t="str">
        <f>IF(Table1[[#This Row],[Major Group]]&lt;&gt;"","n/a",IF(Table1[[#This Row],[Minor Group]]&lt;&gt;"",Table1[[#This Row],[Minor Group]],H1069))</f>
        <v>47-5000</v>
      </c>
      <c r="I1070" s="2" t="str">
        <f>IF(Table1[[#This Row],[Major Group]]&lt;&gt;"","n/a",IF(Table1[[#This Row],[Minor Group]]&lt;&gt;"","n/a",IF(Table1[[#This Row],[Broad Group]]&lt;&gt;"",Table1[[#This Row],[Broad Group]],I1069)))</f>
        <v>47-5030</v>
      </c>
      <c r="J10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Occupation]],J1069))))</f>
        <v>n/a</v>
      </c>
      <c r="K1070" s="2" t="str">
        <f>Table1[[#This Row],[Group Name]]</f>
        <v>Explosives Workers, Ordnance Handling Experts, and Blasters</v>
      </c>
    </row>
    <row r="1071" spans="2:11" ht="25.5" x14ac:dyDescent="0.25">
      <c r="D1071" s="5" t="s">
        <v>1932</v>
      </c>
      <c r="E1071" s="5" t="s">
        <v>1931</v>
      </c>
      <c r="F10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71" s="2" t="str">
        <f>IF(Table1[[#This Row],[Type]]="Major",Table1[[#This Row],[Major Group]],G1070)</f>
        <v>47-0000</v>
      </c>
      <c r="H1071" s="2" t="str">
        <f>IF(Table1[[#This Row],[Major Group]]&lt;&gt;"","n/a",IF(Table1[[#This Row],[Minor Group]]&lt;&gt;"",Table1[[#This Row],[Minor Group]],H1070))</f>
        <v>47-5000</v>
      </c>
      <c r="I1071" s="2" t="str">
        <f>IF(Table1[[#This Row],[Major Group]]&lt;&gt;"","n/a",IF(Table1[[#This Row],[Minor Group]]&lt;&gt;"","n/a",IF(Table1[[#This Row],[Broad Group]]&lt;&gt;"",Table1[[#This Row],[Broad Group]],I1070)))</f>
        <v>47-5030</v>
      </c>
      <c r="J10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Occupation]],J1070))))</f>
        <v>47-5032</v>
      </c>
      <c r="K1071" s="2" t="str">
        <f>Table1[[#This Row],[Group Name]]</f>
        <v>Explosives Workers, Ordnance Handling Experts, and Blasters</v>
      </c>
    </row>
    <row r="1072" spans="2:11" ht="30" x14ac:dyDescent="0.25">
      <c r="C1072" s="1" t="s">
        <v>1933</v>
      </c>
      <c r="E1072" s="1" t="s">
        <v>1934</v>
      </c>
      <c r="F10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72" s="2" t="str">
        <f>IF(Table1[[#This Row],[Type]]="Major",Table1[[#This Row],[Major Group]],G1071)</f>
        <v>47-0000</v>
      </c>
      <c r="H1072" s="2" t="str">
        <f>IF(Table1[[#This Row],[Major Group]]&lt;&gt;"","n/a",IF(Table1[[#This Row],[Minor Group]]&lt;&gt;"",Table1[[#This Row],[Minor Group]],H1071))</f>
        <v>47-5000</v>
      </c>
      <c r="I1072" s="2" t="str">
        <f>IF(Table1[[#This Row],[Major Group]]&lt;&gt;"","n/a",IF(Table1[[#This Row],[Minor Group]]&lt;&gt;"","n/a",IF(Table1[[#This Row],[Broad Group]]&lt;&gt;"",Table1[[#This Row],[Broad Group]],I1071)))</f>
        <v>47-5040</v>
      </c>
      <c r="J10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Occupation]],J1071))))</f>
        <v>n/a</v>
      </c>
      <c r="K1072" s="2" t="str">
        <f>Table1[[#This Row],[Group Name]]</f>
        <v>Underground Mining Machine Operators</v>
      </c>
    </row>
    <row r="1073" spans="1:11" ht="25.5" x14ac:dyDescent="0.25">
      <c r="D1073" s="5" t="s">
        <v>1935</v>
      </c>
      <c r="E1073" s="5" t="s">
        <v>1936</v>
      </c>
      <c r="F10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73" s="2" t="str">
        <f>IF(Table1[[#This Row],[Type]]="Major",Table1[[#This Row],[Major Group]],G1072)</f>
        <v>47-0000</v>
      </c>
      <c r="H1073" s="2" t="str">
        <f>IF(Table1[[#This Row],[Major Group]]&lt;&gt;"","n/a",IF(Table1[[#This Row],[Minor Group]]&lt;&gt;"",Table1[[#This Row],[Minor Group]],H1072))</f>
        <v>47-5000</v>
      </c>
      <c r="I1073" s="2" t="str">
        <f>IF(Table1[[#This Row],[Major Group]]&lt;&gt;"","n/a",IF(Table1[[#This Row],[Minor Group]]&lt;&gt;"","n/a",IF(Table1[[#This Row],[Broad Group]]&lt;&gt;"",Table1[[#This Row],[Broad Group]],I1072)))</f>
        <v>47-5040</v>
      </c>
      <c r="J10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Occupation]],J1072))))</f>
        <v>47-5041</v>
      </c>
      <c r="K1073" s="2" t="str">
        <f>Table1[[#This Row],[Group Name]]</f>
        <v>Continuous Mining Machine Operators</v>
      </c>
    </row>
    <row r="1074" spans="1:11" x14ac:dyDescent="0.25">
      <c r="D1074" s="5" t="s">
        <v>1937</v>
      </c>
      <c r="E1074" s="5" t="s">
        <v>1938</v>
      </c>
      <c r="F10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74" s="2" t="str">
        <f>IF(Table1[[#This Row],[Type]]="Major",Table1[[#This Row],[Major Group]],G1073)</f>
        <v>47-0000</v>
      </c>
      <c r="H1074" s="2" t="str">
        <f>IF(Table1[[#This Row],[Major Group]]&lt;&gt;"","n/a",IF(Table1[[#This Row],[Minor Group]]&lt;&gt;"",Table1[[#This Row],[Minor Group]],H1073))</f>
        <v>47-5000</v>
      </c>
      <c r="I1074" s="2" t="str">
        <f>IF(Table1[[#This Row],[Major Group]]&lt;&gt;"","n/a",IF(Table1[[#This Row],[Minor Group]]&lt;&gt;"","n/a",IF(Table1[[#This Row],[Broad Group]]&lt;&gt;"",Table1[[#This Row],[Broad Group]],I1073)))</f>
        <v>47-5040</v>
      </c>
      <c r="J10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Occupation]],J1073))))</f>
        <v>47-5043</v>
      </c>
      <c r="K1074" s="2" t="str">
        <f>Table1[[#This Row],[Group Name]]</f>
        <v>Roof Bolters, Mining</v>
      </c>
    </row>
    <row r="1075" spans="1:11" ht="25.5" x14ac:dyDescent="0.25">
      <c r="D1075" s="5" t="s">
        <v>1939</v>
      </c>
      <c r="E1075" s="5" t="s">
        <v>1940</v>
      </c>
      <c r="F10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75" s="2" t="str">
        <f>IF(Table1[[#This Row],[Type]]="Major",Table1[[#This Row],[Major Group]],G1074)</f>
        <v>47-0000</v>
      </c>
      <c r="H1075" s="2" t="str">
        <f>IF(Table1[[#This Row],[Major Group]]&lt;&gt;"","n/a",IF(Table1[[#This Row],[Minor Group]]&lt;&gt;"",Table1[[#This Row],[Minor Group]],H1074))</f>
        <v>47-5000</v>
      </c>
      <c r="I1075" s="2" t="str">
        <f>IF(Table1[[#This Row],[Major Group]]&lt;&gt;"","n/a",IF(Table1[[#This Row],[Minor Group]]&lt;&gt;"","n/a",IF(Table1[[#This Row],[Broad Group]]&lt;&gt;"",Table1[[#This Row],[Broad Group]],I1074)))</f>
        <v>47-5040</v>
      </c>
      <c r="J10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Occupation]],J1074))))</f>
        <v>47-5044</v>
      </c>
      <c r="K1075" s="2" t="str">
        <f>Table1[[#This Row],[Group Name]]</f>
        <v>Loading and Moving Machine Operators, Underground Mining</v>
      </c>
    </row>
    <row r="1076" spans="1:11" ht="25.5" x14ac:dyDescent="0.25">
      <c r="D1076" s="5" t="s">
        <v>1941</v>
      </c>
      <c r="E1076" s="5" t="s">
        <v>1942</v>
      </c>
      <c r="F10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76" s="2" t="str">
        <f>IF(Table1[[#This Row],[Type]]="Major",Table1[[#This Row],[Major Group]],G1075)</f>
        <v>47-0000</v>
      </c>
      <c r="H1076" s="2" t="str">
        <f>IF(Table1[[#This Row],[Major Group]]&lt;&gt;"","n/a",IF(Table1[[#This Row],[Minor Group]]&lt;&gt;"",Table1[[#This Row],[Minor Group]],H1075))</f>
        <v>47-5000</v>
      </c>
      <c r="I1076" s="2" t="str">
        <f>IF(Table1[[#This Row],[Major Group]]&lt;&gt;"","n/a",IF(Table1[[#This Row],[Minor Group]]&lt;&gt;"","n/a",IF(Table1[[#This Row],[Broad Group]]&lt;&gt;"",Table1[[#This Row],[Broad Group]],I1075)))</f>
        <v>47-5040</v>
      </c>
      <c r="J10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Occupation]],J1075))))</f>
        <v>47-5049</v>
      </c>
      <c r="K1076" s="2" t="str">
        <f>Table1[[#This Row],[Group Name]]</f>
        <v>Underground Mining Machine Operators, All Other</v>
      </c>
    </row>
    <row r="1077" spans="1:11" x14ac:dyDescent="0.25">
      <c r="C1077" s="1" t="s">
        <v>1943</v>
      </c>
      <c r="E1077" s="1" t="s">
        <v>1944</v>
      </c>
      <c r="F10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77" s="2" t="str">
        <f>IF(Table1[[#This Row],[Type]]="Major",Table1[[#This Row],[Major Group]],G1076)</f>
        <v>47-0000</v>
      </c>
      <c r="H1077" s="2" t="str">
        <f>IF(Table1[[#This Row],[Major Group]]&lt;&gt;"","n/a",IF(Table1[[#This Row],[Minor Group]]&lt;&gt;"",Table1[[#This Row],[Minor Group]],H1076))</f>
        <v>47-5000</v>
      </c>
      <c r="I1077" s="2" t="str">
        <f>IF(Table1[[#This Row],[Major Group]]&lt;&gt;"","n/a",IF(Table1[[#This Row],[Minor Group]]&lt;&gt;"","n/a",IF(Table1[[#This Row],[Broad Group]]&lt;&gt;"",Table1[[#This Row],[Broad Group]],I1076)))</f>
        <v>47-5050</v>
      </c>
      <c r="J10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Occupation]],J1076))))</f>
        <v>n/a</v>
      </c>
      <c r="K1077" s="2" t="str">
        <f>Table1[[#This Row],[Group Name]]</f>
        <v>Rock Splitters, Quarry</v>
      </c>
    </row>
    <row r="1078" spans="1:11" x14ac:dyDescent="0.25">
      <c r="D1078" s="5" t="s">
        <v>1945</v>
      </c>
      <c r="E1078" s="5" t="s">
        <v>1944</v>
      </c>
      <c r="F10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78" s="2" t="str">
        <f>IF(Table1[[#This Row],[Type]]="Major",Table1[[#This Row],[Major Group]],G1077)</f>
        <v>47-0000</v>
      </c>
      <c r="H1078" s="2" t="str">
        <f>IF(Table1[[#This Row],[Major Group]]&lt;&gt;"","n/a",IF(Table1[[#This Row],[Minor Group]]&lt;&gt;"",Table1[[#This Row],[Minor Group]],H1077))</f>
        <v>47-5000</v>
      </c>
      <c r="I1078" s="2" t="str">
        <f>IF(Table1[[#This Row],[Major Group]]&lt;&gt;"","n/a",IF(Table1[[#This Row],[Minor Group]]&lt;&gt;"","n/a",IF(Table1[[#This Row],[Broad Group]]&lt;&gt;"",Table1[[#This Row],[Broad Group]],I1077)))</f>
        <v>47-5050</v>
      </c>
      <c r="J10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Occupation]],J1077))))</f>
        <v>47-5051</v>
      </c>
      <c r="K1078" s="2" t="str">
        <f>Table1[[#This Row],[Group Name]]</f>
        <v>Rock Splitters, Quarry</v>
      </c>
    </row>
    <row r="1079" spans="1:11" x14ac:dyDescent="0.25">
      <c r="C1079" s="1" t="s">
        <v>1946</v>
      </c>
      <c r="E1079" s="1" t="s">
        <v>1947</v>
      </c>
      <c r="F10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79" s="2" t="str">
        <f>IF(Table1[[#This Row],[Type]]="Major",Table1[[#This Row],[Major Group]],G1078)</f>
        <v>47-0000</v>
      </c>
      <c r="H1079" s="2" t="str">
        <f>IF(Table1[[#This Row],[Major Group]]&lt;&gt;"","n/a",IF(Table1[[#This Row],[Minor Group]]&lt;&gt;"",Table1[[#This Row],[Minor Group]],H1078))</f>
        <v>47-5000</v>
      </c>
      <c r="I1079" s="2" t="str">
        <f>IF(Table1[[#This Row],[Major Group]]&lt;&gt;"","n/a",IF(Table1[[#This Row],[Minor Group]]&lt;&gt;"","n/a",IF(Table1[[#This Row],[Broad Group]]&lt;&gt;"",Table1[[#This Row],[Broad Group]],I1078)))</f>
        <v>47-5070</v>
      </c>
      <c r="J10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Occupation]],J1078))))</f>
        <v>n/a</v>
      </c>
      <c r="K1079" s="2" t="str">
        <f>Table1[[#This Row],[Group Name]]</f>
        <v>Roustabouts, Oil and Gas</v>
      </c>
    </row>
    <row r="1080" spans="1:11" x14ac:dyDescent="0.25">
      <c r="D1080" s="5" t="s">
        <v>1948</v>
      </c>
      <c r="E1080" s="5" t="s">
        <v>1947</v>
      </c>
      <c r="F10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80" s="2" t="str">
        <f>IF(Table1[[#This Row],[Type]]="Major",Table1[[#This Row],[Major Group]],G1079)</f>
        <v>47-0000</v>
      </c>
      <c r="H1080" s="2" t="str">
        <f>IF(Table1[[#This Row],[Major Group]]&lt;&gt;"","n/a",IF(Table1[[#This Row],[Minor Group]]&lt;&gt;"",Table1[[#This Row],[Minor Group]],H1079))</f>
        <v>47-5000</v>
      </c>
      <c r="I1080" s="2" t="str">
        <f>IF(Table1[[#This Row],[Major Group]]&lt;&gt;"","n/a",IF(Table1[[#This Row],[Minor Group]]&lt;&gt;"","n/a",IF(Table1[[#This Row],[Broad Group]]&lt;&gt;"",Table1[[#This Row],[Broad Group]],I1079)))</f>
        <v>47-5070</v>
      </c>
      <c r="J10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Occupation]],J1079))))</f>
        <v>47-5071</v>
      </c>
      <c r="K1080" s="2" t="str">
        <f>Table1[[#This Row],[Group Name]]</f>
        <v>Roustabouts, Oil and Gas</v>
      </c>
    </row>
    <row r="1081" spans="1:11" x14ac:dyDescent="0.25">
      <c r="C1081" s="1" t="s">
        <v>1949</v>
      </c>
      <c r="E1081" s="1" t="s">
        <v>1950</v>
      </c>
      <c r="F10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81" s="2" t="str">
        <f>IF(Table1[[#This Row],[Type]]="Major",Table1[[#This Row],[Major Group]],G1080)</f>
        <v>47-0000</v>
      </c>
      <c r="H1081" s="2" t="str">
        <f>IF(Table1[[#This Row],[Major Group]]&lt;&gt;"","n/a",IF(Table1[[#This Row],[Minor Group]]&lt;&gt;"",Table1[[#This Row],[Minor Group]],H1080))</f>
        <v>47-5000</v>
      </c>
      <c r="I1081" s="2" t="str">
        <f>IF(Table1[[#This Row],[Major Group]]&lt;&gt;"","n/a",IF(Table1[[#This Row],[Minor Group]]&lt;&gt;"","n/a",IF(Table1[[#This Row],[Broad Group]]&lt;&gt;"",Table1[[#This Row],[Broad Group]],I1080)))</f>
        <v>47-5080</v>
      </c>
      <c r="J10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Occupation]],J1080))))</f>
        <v>n/a</v>
      </c>
      <c r="K1081" s="2" t="str">
        <f>Table1[[#This Row],[Group Name]]</f>
        <v>Helpers--Extraction Workers</v>
      </c>
    </row>
    <row r="1082" spans="1:11" x14ac:dyDescent="0.25">
      <c r="D1082" s="5" t="s">
        <v>1951</v>
      </c>
      <c r="E1082" s="5" t="s">
        <v>1950</v>
      </c>
      <c r="F10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82" s="2" t="str">
        <f>IF(Table1[[#This Row],[Type]]="Major",Table1[[#This Row],[Major Group]],G1081)</f>
        <v>47-0000</v>
      </c>
      <c r="H1082" s="2" t="str">
        <f>IF(Table1[[#This Row],[Major Group]]&lt;&gt;"","n/a",IF(Table1[[#This Row],[Minor Group]]&lt;&gt;"",Table1[[#This Row],[Minor Group]],H1081))</f>
        <v>47-5000</v>
      </c>
      <c r="I1082" s="2" t="str">
        <f>IF(Table1[[#This Row],[Major Group]]&lt;&gt;"","n/a",IF(Table1[[#This Row],[Minor Group]]&lt;&gt;"","n/a",IF(Table1[[#This Row],[Broad Group]]&lt;&gt;"",Table1[[#This Row],[Broad Group]],I1081)))</f>
        <v>47-5080</v>
      </c>
      <c r="J10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Occupation]],J1081))))</f>
        <v>47-5081</v>
      </c>
      <c r="K1082" s="2" t="str">
        <f>Table1[[#This Row],[Group Name]]</f>
        <v>Helpers--Extraction Workers</v>
      </c>
    </row>
    <row r="1083" spans="1:11" x14ac:dyDescent="0.25">
      <c r="C1083" s="1" t="s">
        <v>1952</v>
      </c>
      <c r="E1083" s="1" t="s">
        <v>1953</v>
      </c>
      <c r="F10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83" s="2" t="str">
        <f>IF(Table1[[#This Row],[Type]]="Major",Table1[[#This Row],[Major Group]],G1082)</f>
        <v>47-0000</v>
      </c>
      <c r="H1083" s="2" t="str">
        <f>IF(Table1[[#This Row],[Major Group]]&lt;&gt;"","n/a",IF(Table1[[#This Row],[Minor Group]]&lt;&gt;"",Table1[[#This Row],[Minor Group]],H1082))</f>
        <v>47-5000</v>
      </c>
      <c r="I1083" s="2" t="str">
        <f>IF(Table1[[#This Row],[Major Group]]&lt;&gt;"","n/a",IF(Table1[[#This Row],[Minor Group]]&lt;&gt;"","n/a",IF(Table1[[#This Row],[Broad Group]]&lt;&gt;"",Table1[[#This Row],[Broad Group]],I1082)))</f>
        <v>47-5090</v>
      </c>
      <c r="J10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Occupation]],J1082))))</f>
        <v>n/a</v>
      </c>
      <c r="K1083" s="2" t="str">
        <f>Table1[[#This Row],[Group Name]]</f>
        <v>Miscellaneous Extraction Workers</v>
      </c>
    </row>
    <row r="1084" spans="1:11" x14ac:dyDescent="0.25">
      <c r="D1084" s="5" t="s">
        <v>1954</v>
      </c>
      <c r="E1084" s="5" t="s">
        <v>1955</v>
      </c>
      <c r="F10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84" s="2" t="str">
        <f>IF(Table1[[#This Row],[Type]]="Major",Table1[[#This Row],[Major Group]],G1083)</f>
        <v>47-0000</v>
      </c>
      <c r="H1084" s="2" t="str">
        <f>IF(Table1[[#This Row],[Major Group]]&lt;&gt;"","n/a",IF(Table1[[#This Row],[Minor Group]]&lt;&gt;"",Table1[[#This Row],[Minor Group]],H1083))</f>
        <v>47-5000</v>
      </c>
      <c r="I1084" s="2" t="str">
        <f>IF(Table1[[#This Row],[Major Group]]&lt;&gt;"","n/a",IF(Table1[[#This Row],[Minor Group]]&lt;&gt;"","n/a",IF(Table1[[#This Row],[Broad Group]]&lt;&gt;"",Table1[[#This Row],[Broad Group]],I1083)))</f>
        <v>47-5090</v>
      </c>
      <c r="J10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Occupation]],J1083))))</f>
        <v>47-5099</v>
      </c>
      <c r="K1084" s="2" t="str">
        <f>Table1[[#This Row],[Group Name]]</f>
        <v>Extraction Workers, All Other</v>
      </c>
    </row>
    <row r="1085" spans="1:11" ht="15.75" x14ac:dyDescent="0.25">
      <c r="A1085" s="4" t="s">
        <v>1956</v>
      </c>
      <c r="E1085" s="4" t="s">
        <v>1957</v>
      </c>
      <c r="F10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1085" s="2" t="str">
        <f>IF(Table1[[#This Row],[Type]]="Major",Table1[[#This Row],[Major Group]],G1084)</f>
        <v>49-0000</v>
      </c>
      <c r="H1085" s="2" t="str">
        <f>IF(Table1[[#This Row],[Major Group]]&lt;&gt;"","n/a",IF(Table1[[#This Row],[Minor Group]]&lt;&gt;"",Table1[[#This Row],[Minor Group]],H1084))</f>
        <v>n/a</v>
      </c>
      <c r="I1085" s="2" t="str">
        <f>IF(Table1[[#This Row],[Major Group]]&lt;&gt;"","n/a",IF(Table1[[#This Row],[Minor Group]]&lt;&gt;"","n/a",IF(Table1[[#This Row],[Broad Group]]&lt;&gt;"",Table1[[#This Row],[Broad Group]],I1084)))</f>
        <v>n/a</v>
      </c>
      <c r="J10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Occupation]],J1084))))</f>
        <v>n/a</v>
      </c>
      <c r="K1085" s="2" t="str">
        <f>Table1[[#This Row],[Group Name]]</f>
        <v>Installation, Maintenance, and Repair Occupations</v>
      </c>
    </row>
    <row r="1086" spans="1:11" x14ac:dyDescent="0.25">
      <c r="B1086" s="3" t="s">
        <v>1958</v>
      </c>
      <c r="E1086" s="3" t="s">
        <v>1959</v>
      </c>
      <c r="F10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086" s="2" t="str">
        <f>IF(Table1[[#This Row],[Type]]="Major",Table1[[#This Row],[Major Group]],G1085)</f>
        <v>49-0000</v>
      </c>
      <c r="H1086" s="2" t="str">
        <f>IF(Table1[[#This Row],[Major Group]]&lt;&gt;"","n/a",IF(Table1[[#This Row],[Minor Group]]&lt;&gt;"",Table1[[#This Row],[Minor Group]],H1085))</f>
        <v>49-1000</v>
      </c>
      <c r="I1086" s="2" t="str">
        <f>IF(Table1[[#This Row],[Major Group]]&lt;&gt;"","n/a",IF(Table1[[#This Row],[Minor Group]]&lt;&gt;"","n/a",IF(Table1[[#This Row],[Broad Group]]&lt;&gt;"",Table1[[#This Row],[Broad Group]],I1085)))</f>
        <v>n/a</v>
      </c>
      <c r="J10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Occupation]],J1085))))</f>
        <v>n/a</v>
      </c>
      <c r="K1086" s="2" t="str">
        <f>Table1[[#This Row],[Group Name]]</f>
        <v>Supervisors of Installation, Maintenance, and Repair Workers</v>
      </c>
    </row>
    <row r="1087" spans="1:11" ht="45" x14ac:dyDescent="0.25">
      <c r="C1087" s="1" t="s">
        <v>1960</v>
      </c>
      <c r="E1087" s="1" t="s">
        <v>1961</v>
      </c>
      <c r="F10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87" s="2" t="str">
        <f>IF(Table1[[#This Row],[Type]]="Major",Table1[[#This Row],[Major Group]],G1086)</f>
        <v>49-0000</v>
      </c>
      <c r="H1087" s="2" t="str">
        <f>IF(Table1[[#This Row],[Major Group]]&lt;&gt;"","n/a",IF(Table1[[#This Row],[Minor Group]]&lt;&gt;"",Table1[[#This Row],[Minor Group]],H1086))</f>
        <v>49-1000</v>
      </c>
      <c r="I1087" s="2" t="str">
        <f>IF(Table1[[#This Row],[Major Group]]&lt;&gt;"","n/a",IF(Table1[[#This Row],[Minor Group]]&lt;&gt;"","n/a",IF(Table1[[#This Row],[Broad Group]]&lt;&gt;"",Table1[[#This Row],[Broad Group]],I1086)))</f>
        <v>49-1010</v>
      </c>
      <c r="J10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Occupation]],J1086))))</f>
        <v>n/a</v>
      </c>
      <c r="K1087" s="2" t="str">
        <f>Table1[[#This Row],[Group Name]]</f>
        <v>First-Line Supervisors of Mechanics, Installers, and Repairers</v>
      </c>
    </row>
    <row r="1088" spans="1:11" ht="25.5" x14ac:dyDescent="0.25">
      <c r="D1088" s="5" t="s">
        <v>1962</v>
      </c>
      <c r="E1088" s="5" t="s">
        <v>1961</v>
      </c>
      <c r="F10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88" s="2" t="str">
        <f>IF(Table1[[#This Row],[Type]]="Major",Table1[[#This Row],[Major Group]],G1087)</f>
        <v>49-0000</v>
      </c>
      <c r="H1088" s="2" t="str">
        <f>IF(Table1[[#This Row],[Major Group]]&lt;&gt;"","n/a",IF(Table1[[#This Row],[Minor Group]]&lt;&gt;"",Table1[[#This Row],[Minor Group]],H1087))</f>
        <v>49-1000</v>
      </c>
      <c r="I1088" s="2" t="str">
        <f>IF(Table1[[#This Row],[Major Group]]&lt;&gt;"","n/a",IF(Table1[[#This Row],[Minor Group]]&lt;&gt;"","n/a",IF(Table1[[#This Row],[Broad Group]]&lt;&gt;"",Table1[[#This Row],[Broad Group]],I1087)))</f>
        <v>49-1010</v>
      </c>
      <c r="J10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Occupation]],J1087))))</f>
        <v>49-1011</v>
      </c>
      <c r="K1088" s="2" t="str">
        <f>Table1[[#This Row],[Group Name]]</f>
        <v>First-Line Supervisors of Mechanics, Installers, and Repairers</v>
      </c>
    </row>
    <row r="1089" spans="2:11" x14ac:dyDescent="0.25">
      <c r="B1089" s="3" t="s">
        <v>1963</v>
      </c>
      <c r="E1089" s="3" t="s">
        <v>1964</v>
      </c>
      <c r="F10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089" s="2" t="str">
        <f>IF(Table1[[#This Row],[Type]]="Major",Table1[[#This Row],[Major Group]],G1088)</f>
        <v>49-0000</v>
      </c>
      <c r="H1089" s="2" t="str">
        <f>IF(Table1[[#This Row],[Major Group]]&lt;&gt;"","n/a",IF(Table1[[#This Row],[Minor Group]]&lt;&gt;"",Table1[[#This Row],[Minor Group]],H1088))</f>
        <v>49-2000</v>
      </c>
      <c r="I1089" s="2" t="str">
        <f>IF(Table1[[#This Row],[Major Group]]&lt;&gt;"","n/a",IF(Table1[[#This Row],[Minor Group]]&lt;&gt;"","n/a",IF(Table1[[#This Row],[Broad Group]]&lt;&gt;"",Table1[[#This Row],[Broad Group]],I1088)))</f>
        <v>n/a</v>
      </c>
      <c r="J10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Occupation]],J1088))))</f>
        <v>n/a</v>
      </c>
      <c r="K1089" s="2" t="str">
        <f>Table1[[#This Row],[Group Name]]</f>
        <v>Electrical and Electronic Equipment Mechanics, Installers, and Repairers</v>
      </c>
    </row>
    <row r="1090" spans="2:11" ht="30" x14ac:dyDescent="0.25">
      <c r="C1090" s="1" t="s">
        <v>1965</v>
      </c>
      <c r="E1090" s="1" t="s">
        <v>1966</v>
      </c>
      <c r="F10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90" s="2" t="str">
        <f>IF(Table1[[#This Row],[Type]]="Major",Table1[[#This Row],[Major Group]],G1089)</f>
        <v>49-0000</v>
      </c>
      <c r="H1090" s="2" t="str">
        <f>IF(Table1[[#This Row],[Major Group]]&lt;&gt;"","n/a",IF(Table1[[#This Row],[Minor Group]]&lt;&gt;"",Table1[[#This Row],[Minor Group]],H1089))</f>
        <v>49-2000</v>
      </c>
      <c r="I1090" s="2" t="str">
        <f>IF(Table1[[#This Row],[Major Group]]&lt;&gt;"","n/a",IF(Table1[[#This Row],[Minor Group]]&lt;&gt;"","n/a",IF(Table1[[#This Row],[Broad Group]]&lt;&gt;"",Table1[[#This Row],[Broad Group]],I1089)))</f>
        <v>49-2010</v>
      </c>
      <c r="J10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Occupation]],J1089))))</f>
        <v>n/a</v>
      </c>
      <c r="K1090" s="2" t="str">
        <f>Table1[[#This Row],[Group Name]]</f>
        <v>Computer, Automated Teller, and Office Machine Repairers</v>
      </c>
    </row>
    <row r="1091" spans="2:11" ht="25.5" x14ac:dyDescent="0.25">
      <c r="D1091" s="5" t="s">
        <v>1967</v>
      </c>
      <c r="E1091" s="5" t="s">
        <v>1966</v>
      </c>
      <c r="F10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91" s="2" t="str">
        <f>IF(Table1[[#This Row],[Type]]="Major",Table1[[#This Row],[Major Group]],G1090)</f>
        <v>49-0000</v>
      </c>
      <c r="H1091" s="2" t="str">
        <f>IF(Table1[[#This Row],[Major Group]]&lt;&gt;"","n/a",IF(Table1[[#This Row],[Minor Group]]&lt;&gt;"",Table1[[#This Row],[Minor Group]],H1090))</f>
        <v>49-2000</v>
      </c>
      <c r="I1091" s="2" t="str">
        <f>IF(Table1[[#This Row],[Major Group]]&lt;&gt;"","n/a",IF(Table1[[#This Row],[Minor Group]]&lt;&gt;"","n/a",IF(Table1[[#This Row],[Broad Group]]&lt;&gt;"",Table1[[#This Row],[Broad Group]],I1090)))</f>
        <v>49-2010</v>
      </c>
      <c r="J10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Occupation]],J1090))))</f>
        <v>49-2011</v>
      </c>
      <c r="K1091" s="2" t="str">
        <f>Table1[[#This Row],[Group Name]]</f>
        <v>Computer, Automated Teller, and Office Machine Repairers</v>
      </c>
    </row>
    <row r="1092" spans="2:11" ht="45" x14ac:dyDescent="0.25">
      <c r="C1092" s="1" t="s">
        <v>1968</v>
      </c>
      <c r="E1092" s="1" t="s">
        <v>1969</v>
      </c>
      <c r="F10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92" s="2" t="str">
        <f>IF(Table1[[#This Row],[Type]]="Major",Table1[[#This Row],[Major Group]],G1091)</f>
        <v>49-0000</v>
      </c>
      <c r="H1092" s="2" t="str">
        <f>IF(Table1[[#This Row],[Major Group]]&lt;&gt;"","n/a",IF(Table1[[#This Row],[Minor Group]]&lt;&gt;"",Table1[[#This Row],[Minor Group]],H1091))</f>
        <v>49-2000</v>
      </c>
      <c r="I1092" s="2" t="str">
        <f>IF(Table1[[#This Row],[Major Group]]&lt;&gt;"","n/a",IF(Table1[[#This Row],[Minor Group]]&lt;&gt;"","n/a",IF(Table1[[#This Row],[Broad Group]]&lt;&gt;"",Table1[[#This Row],[Broad Group]],I1091)))</f>
        <v>49-2020</v>
      </c>
      <c r="J10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Occupation]],J1091))))</f>
        <v>n/a</v>
      </c>
      <c r="K1092" s="2" t="str">
        <f>Table1[[#This Row],[Group Name]]</f>
        <v>Radio and Telecommunications Equipment Installers and Repairers</v>
      </c>
    </row>
    <row r="1093" spans="2:11" ht="25.5" x14ac:dyDescent="0.25">
      <c r="D1093" s="5" t="s">
        <v>1970</v>
      </c>
      <c r="E1093" s="5" t="s">
        <v>1971</v>
      </c>
      <c r="F10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93" s="2" t="str">
        <f>IF(Table1[[#This Row],[Type]]="Major",Table1[[#This Row],[Major Group]],G1092)</f>
        <v>49-0000</v>
      </c>
      <c r="H1093" s="2" t="str">
        <f>IF(Table1[[#This Row],[Major Group]]&lt;&gt;"","n/a",IF(Table1[[#This Row],[Minor Group]]&lt;&gt;"",Table1[[#This Row],[Minor Group]],H1092))</f>
        <v>49-2000</v>
      </c>
      <c r="I1093" s="2" t="str">
        <f>IF(Table1[[#This Row],[Major Group]]&lt;&gt;"","n/a",IF(Table1[[#This Row],[Minor Group]]&lt;&gt;"","n/a",IF(Table1[[#This Row],[Broad Group]]&lt;&gt;"",Table1[[#This Row],[Broad Group]],I1092)))</f>
        <v>49-2020</v>
      </c>
      <c r="J10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Occupation]],J1092))))</f>
        <v>49-2021</v>
      </c>
      <c r="K1093" s="2" t="str">
        <f>Table1[[#This Row],[Group Name]]</f>
        <v>Radio, Cellular, and Tower Equipment Installers and Repairers</v>
      </c>
    </row>
    <row r="1094" spans="2:11" ht="38.25" x14ac:dyDescent="0.25">
      <c r="D1094" s="5" t="s">
        <v>1972</v>
      </c>
      <c r="E1094" s="5" t="s">
        <v>1973</v>
      </c>
      <c r="F10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94" s="2" t="str">
        <f>IF(Table1[[#This Row],[Type]]="Major",Table1[[#This Row],[Major Group]],G1093)</f>
        <v>49-0000</v>
      </c>
      <c r="H1094" s="2" t="str">
        <f>IF(Table1[[#This Row],[Major Group]]&lt;&gt;"","n/a",IF(Table1[[#This Row],[Minor Group]]&lt;&gt;"",Table1[[#This Row],[Minor Group]],H1093))</f>
        <v>49-2000</v>
      </c>
      <c r="I1094" s="2" t="str">
        <f>IF(Table1[[#This Row],[Major Group]]&lt;&gt;"","n/a",IF(Table1[[#This Row],[Minor Group]]&lt;&gt;"","n/a",IF(Table1[[#This Row],[Broad Group]]&lt;&gt;"",Table1[[#This Row],[Broad Group]],I1093)))</f>
        <v>49-2020</v>
      </c>
      <c r="J10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Occupation]],J1093))))</f>
        <v>49-2022</v>
      </c>
      <c r="K1094" s="2" t="str">
        <f>Table1[[#This Row],[Group Name]]</f>
        <v>Telecommunications Equipment Installers and Repairers, Except Line Installers</v>
      </c>
    </row>
    <row r="1095" spans="2:11" ht="45" x14ac:dyDescent="0.25">
      <c r="C1095" s="1" t="s">
        <v>1974</v>
      </c>
      <c r="E1095" s="1" t="s">
        <v>1975</v>
      </c>
      <c r="F10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095" s="2" t="str">
        <f>IF(Table1[[#This Row],[Type]]="Major",Table1[[#This Row],[Major Group]],G1094)</f>
        <v>49-0000</v>
      </c>
      <c r="H1095" s="2" t="str">
        <f>IF(Table1[[#This Row],[Major Group]]&lt;&gt;"","n/a",IF(Table1[[#This Row],[Minor Group]]&lt;&gt;"",Table1[[#This Row],[Minor Group]],H1094))</f>
        <v>49-2000</v>
      </c>
      <c r="I1095" s="2" t="str">
        <f>IF(Table1[[#This Row],[Major Group]]&lt;&gt;"","n/a",IF(Table1[[#This Row],[Minor Group]]&lt;&gt;"","n/a",IF(Table1[[#This Row],[Broad Group]]&lt;&gt;"",Table1[[#This Row],[Broad Group]],I1094)))</f>
        <v>49-2090</v>
      </c>
      <c r="J10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Occupation]],J1094))))</f>
        <v>n/a</v>
      </c>
      <c r="K1095" s="2" t="str">
        <f>Table1[[#This Row],[Group Name]]</f>
        <v>Miscellaneous Electrical and Electronic Equipment Mechanics, Installers, and Repairers</v>
      </c>
    </row>
    <row r="1096" spans="2:11" x14ac:dyDescent="0.25">
      <c r="D1096" s="5" t="s">
        <v>1976</v>
      </c>
      <c r="E1096" s="5" t="s">
        <v>1977</v>
      </c>
      <c r="F10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96" s="2" t="str">
        <f>IF(Table1[[#This Row],[Type]]="Major",Table1[[#This Row],[Major Group]],G1095)</f>
        <v>49-0000</v>
      </c>
      <c r="H1096" s="2" t="str">
        <f>IF(Table1[[#This Row],[Major Group]]&lt;&gt;"","n/a",IF(Table1[[#This Row],[Minor Group]]&lt;&gt;"",Table1[[#This Row],[Minor Group]],H1095))</f>
        <v>49-2000</v>
      </c>
      <c r="I1096" s="2" t="str">
        <f>IF(Table1[[#This Row],[Major Group]]&lt;&gt;"","n/a",IF(Table1[[#This Row],[Minor Group]]&lt;&gt;"","n/a",IF(Table1[[#This Row],[Broad Group]]&lt;&gt;"",Table1[[#This Row],[Broad Group]],I1095)))</f>
        <v>49-2090</v>
      </c>
      <c r="J10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Occupation]],J1095))))</f>
        <v>49-2091</v>
      </c>
      <c r="K1096" s="2" t="str">
        <f>Table1[[#This Row],[Group Name]]</f>
        <v>Avionics Technicians</v>
      </c>
    </row>
    <row r="1097" spans="2:11" ht="25.5" x14ac:dyDescent="0.25">
      <c r="D1097" s="5" t="s">
        <v>1978</v>
      </c>
      <c r="E1097" s="5" t="s">
        <v>1979</v>
      </c>
      <c r="F10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97" s="2" t="str">
        <f>IF(Table1[[#This Row],[Type]]="Major",Table1[[#This Row],[Major Group]],G1096)</f>
        <v>49-0000</v>
      </c>
      <c r="H1097" s="2" t="str">
        <f>IF(Table1[[#This Row],[Major Group]]&lt;&gt;"","n/a",IF(Table1[[#This Row],[Minor Group]]&lt;&gt;"",Table1[[#This Row],[Minor Group]],H1096))</f>
        <v>49-2000</v>
      </c>
      <c r="I1097" s="2" t="str">
        <f>IF(Table1[[#This Row],[Major Group]]&lt;&gt;"","n/a",IF(Table1[[#This Row],[Minor Group]]&lt;&gt;"","n/a",IF(Table1[[#This Row],[Broad Group]]&lt;&gt;"",Table1[[#This Row],[Broad Group]],I1096)))</f>
        <v>49-2090</v>
      </c>
      <c r="J10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Occupation]],J1096))))</f>
        <v>49-2092</v>
      </c>
      <c r="K1097" s="2" t="str">
        <f>Table1[[#This Row],[Group Name]]</f>
        <v>Electric Motor, Power Tool, and Related Repairers</v>
      </c>
    </row>
    <row r="1098" spans="2:11" ht="38.25" x14ac:dyDescent="0.25">
      <c r="D1098" s="5" t="s">
        <v>1980</v>
      </c>
      <c r="E1098" s="5" t="s">
        <v>1981</v>
      </c>
      <c r="F10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98" s="2" t="str">
        <f>IF(Table1[[#This Row],[Type]]="Major",Table1[[#This Row],[Major Group]],G1097)</f>
        <v>49-0000</v>
      </c>
      <c r="H1098" s="2" t="str">
        <f>IF(Table1[[#This Row],[Major Group]]&lt;&gt;"","n/a",IF(Table1[[#This Row],[Minor Group]]&lt;&gt;"",Table1[[#This Row],[Minor Group]],H1097))</f>
        <v>49-2000</v>
      </c>
      <c r="I1098" s="2" t="str">
        <f>IF(Table1[[#This Row],[Major Group]]&lt;&gt;"","n/a",IF(Table1[[#This Row],[Minor Group]]&lt;&gt;"","n/a",IF(Table1[[#This Row],[Broad Group]]&lt;&gt;"",Table1[[#This Row],[Broad Group]],I1097)))</f>
        <v>49-2090</v>
      </c>
      <c r="J10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Occupation]],J1097))))</f>
        <v>49-2093</v>
      </c>
      <c r="K1098" s="2" t="str">
        <f>Table1[[#This Row],[Group Name]]</f>
        <v>Electrical and Electronics Installers and Repairers, Transportation Equipment</v>
      </c>
    </row>
    <row r="1099" spans="2:11" ht="25.5" x14ac:dyDescent="0.25">
      <c r="D1099" s="5" t="s">
        <v>1982</v>
      </c>
      <c r="E1099" s="5" t="s">
        <v>1983</v>
      </c>
      <c r="F10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099" s="2" t="str">
        <f>IF(Table1[[#This Row],[Type]]="Major",Table1[[#This Row],[Major Group]],G1098)</f>
        <v>49-0000</v>
      </c>
      <c r="H1099" s="2" t="str">
        <f>IF(Table1[[#This Row],[Major Group]]&lt;&gt;"","n/a",IF(Table1[[#This Row],[Minor Group]]&lt;&gt;"",Table1[[#This Row],[Minor Group]],H1098))</f>
        <v>49-2000</v>
      </c>
      <c r="I1099" s="2" t="str">
        <f>IF(Table1[[#This Row],[Major Group]]&lt;&gt;"","n/a",IF(Table1[[#This Row],[Minor Group]]&lt;&gt;"","n/a",IF(Table1[[#This Row],[Broad Group]]&lt;&gt;"",Table1[[#This Row],[Broad Group]],I1098)))</f>
        <v>49-2090</v>
      </c>
      <c r="J10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Occupation]],J1098))))</f>
        <v>49-2094</v>
      </c>
      <c r="K1099" s="2" t="str">
        <f>Table1[[#This Row],[Group Name]]</f>
        <v>Electrical and Electronics Repairers, Commercial and Industrial Equipment</v>
      </c>
    </row>
    <row r="1100" spans="2:11" ht="25.5" x14ac:dyDescent="0.25">
      <c r="D1100" s="5" t="s">
        <v>1984</v>
      </c>
      <c r="E1100" s="5" t="s">
        <v>1985</v>
      </c>
      <c r="F11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0" s="2" t="str">
        <f>IF(Table1[[#This Row],[Type]]="Major",Table1[[#This Row],[Major Group]],G1099)</f>
        <v>49-0000</v>
      </c>
      <c r="H1100" s="2" t="str">
        <f>IF(Table1[[#This Row],[Major Group]]&lt;&gt;"","n/a",IF(Table1[[#This Row],[Minor Group]]&lt;&gt;"",Table1[[#This Row],[Minor Group]],H1099))</f>
        <v>49-2000</v>
      </c>
      <c r="I1100" s="2" t="str">
        <f>IF(Table1[[#This Row],[Major Group]]&lt;&gt;"","n/a",IF(Table1[[#This Row],[Minor Group]]&lt;&gt;"","n/a",IF(Table1[[#This Row],[Broad Group]]&lt;&gt;"",Table1[[#This Row],[Broad Group]],I1099)))</f>
        <v>49-2090</v>
      </c>
      <c r="J11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Occupation]],J1099))))</f>
        <v>49-2095</v>
      </c>
      <c r="K1100" s="2" t="str">
        <f>Table1[[#This Row],[Group Name]]</f>
        <v>Electrical and Electronics Repairers, Powerhouse, Substation, and Relay</v>
      </c>
    </row>
    <row r="1101" spans="2:11" ht="25.5" x14ac:dyDescent="0.25">
      <c r="D1101" s="5" t="s">
        <v>1986</v>
      </c>
      <c r="E1101" s="5" t="s">
        <v>1987</v>
      </c>
      <c r="F11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1" s="2" t="str">
        <f>IF(Table1[[#This Row],[Type]]="Major",Table1[[#This Row],[Major Group]],G1100)</f>
        <v>49-0000</v>
      </c>
      <c r="H1101" s="2" t="str">
        <f>IF(Table1[[#This Row],[Major Group]]&lt;&gt;"","n/a",IF(Table1[[#This Row],[Minor Group]]&lt;&gt;"",Table1[[#This Row],[Minor Group]],H1100))</f>
        <v>49-2000</v>
      </c>
      <c r="I1101" s="2" t="str">
        <f>IF(Table1[[#This Row],[Major Group]]&lt;&gt;"","n/a",IF(Table1[[#This Row],[Minor Group]]&lt;&gt;"","n/a",IF(Table1[[#This Row],[Broad Group]]&lt;&gt;"",Table1[[#This Row],[Broad Group]],I1100)))</f>
        <v>49-2090</v>
      </c>
      <c r="J11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Occupation]],J1100))))</f>
        <v>49-2096</v>
      </c>
      <c r="K1101" s="2" t="str">
        <f>Table1[[#This Row],[Group Name]]</f>
        <v>Electronic Equipment Installers and Repairers, Motor Vehicles</v>
      </c>
    </row>
    <row r="1102" spans="2:11" ht="25.5" x14ac:dyDescent="0.25">
      <c r="D1102" s="5" t="s">
        <v>1988</v>
      </c>
      <c r="E1102" s="5" t="s">
        <v>1989</v>
      </c>
      <c r="F11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2" s="2" t="str">
        <f>IF(Table1[[#This Row],[Type]]="Major",Table1[[#This Row],[Major Group]],G1101)</f>
        <v>49-0000</v>
      </c>
      <c r="H1102" s="2" t="str">
        <f>IF(Table1[[#This Row],[Major Group]]&lt;&gt;"","n/a",IF(Table1[[#This Row],[Minor Group]]&lt;&gt;"",Table1[[#This Row],[Minor Group]],H1101))</f>
        <v>49-2000</v>
      </c>
      <c r="I1102" s="2" t="str">
        <f>IF(Table1[[#This Row],[Major Group]]&lt;&gt;"","n/a",IF(Table1[[#This Row],[Minor Group]]&lt;&gt;"","n/a",IF(Table1[[#This Row],[Broad Group]]&lt;&gt;"",Table1[[#This Row],[Broad Group]],I1101)))</f>
        <v>49-2090</v>
      </c>
      <c r="J11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Occupation]],J1101))))</f>
        <v>49-2097</v>
      </c>
      <c r="K1102" s="2" t="str">
        <f>Table1[[#This Row],[Group Name]]</f>
        <v>Audiovisual Equipment Installers and Repairers</v>
      </c>
    </row>
    <row r="1103" spans="2:11" ht="25.5" x14ac:dyDescent="0.25">
      <c r="D1103" s="5" t="s">
        <v>1990</v>
      </c>
      <c r="E1103" s="5" t="s">
        <v>1991</v>
      </c>
      <c r="F11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3" s="2" t="str">
        <f>IF(Table1[[#This Row],[Type]]="Major",Table1[[#This Row],[Major Group]],G1102)</f>
        <v>49-0000</v>
      </c>
      <c r="H1103" s="2" t="str">
        <f>IF(Table1[[#This Row],[Major Group]]&lt;&gt;"","n/a",IF(Table1[[#This Row],[Minor Group]]&lt;&gt;"",Table1[[#This Row],[Minor Group]],H1102))</f>
        <v>49-2000</v>
      </c>
      <c r="I1103" s="2" t="str">
        <f>IF(Table1[[#This Row],[Major Group]]&lt;&gt;"","n/a",IF(Table1[[#This Row],[Minor Group]]&lt;&gt;"","n/a",IF(Table1[[#This Row],[Broad Group]]&lt;&gt;"",Table1[[#This Row],[Broad Group]],I1102)))</f>
        <v>49-2090</v>
      </c>
      <c r="J11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Occupation]],J1102))))</f>
        <v>49-2098</v>
      </c>
      <c r="K1103" s="2" t="str">
        <f>Table1[[#This Row],[Group Name]]</f>
        <v>Security and Fire Alarm Systems Installers</v>
      </c>
    </row>
    <row r="1104" spans="2:11" x14ac:dyDescent="0.25">
      <c r="B1104" s="3" t="s">
        <v>1992</v>
      </c>
      <c r="E1104" s="3" t="s">
        <v>1993</v>
      </c>
      <c r="F11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104" s="2" t="str">
        <f>IF(Table1[[#This Row],[Type]]="Major",Table1[[#This Row],[Major Group]],G1103)</f>
        <v>49-0000</v>
      </c>
      <c r="H1104" s="2" t="str">
        <f>IF(Table1[[#This Row],[Major Group]]&lt;&gt;"","n/a",IF(Table1[[#This Row],[Minor Group]]&lt;&gt;"",Table1[[#This Row],[Minor Group]],H1103))</f>
        <v>49-3000</v>
      </c>
      <c r="I1104" s="2" t="str">
        <f>IF(Table1[[#This Row],[Major Group]]&lt;&gt;"","n/a",IF(Table1[[#This Row],[Minor Group]]&lt;&gt;"","n/a",IF(Table1[[#This Row],[Broad Group]]&lt;&gt;"",Table1[[#This Row],[Broad Group]],I1103)))</f>
        <v>n/a</v>
      </c>
      <c r="J11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Occupation]],J1103))))</f>
        <v>n/a</v>
      </c>
      <c r="K1104" s="2" t="str">
        <f>Table1[[#This Row],[Group Name]]</f>
        <v>Vehicle and Mobile Equipment Mechanics, Installers, and Repairers</v>
      </c>
    </row>
    <row r="1105" spans="3:11" ht="30" x14ac:dyDescent="0.25">
      <c r="C1105" s="1" t="s">
        <v>1994</v>
      </c>
      <c r="E1105" s="1" t="s">
        <v>1995</v>
      </c>
      <c r="F11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05" s="2" t="str">
        <f>IF(Table1[[#This Row],[Type]]="Major",Table1[[#This Row],[Major Group]],G1104)</f>
        <v>49-0000</v>
      </c>
      <c r="H1105" s="2" t="str">
        <f>IF(Table1[[#This Row],[Major Group]]&lt;&gt;"","n/a",IF(Table1[[#This Row],[Minor Group]]&lt;&gt;"",Table1[[#This Row],[Minor Group]],H1104))</f>
        <v>49-3000</v>
      </c>
      <c r="I1105" s="2" t="str">
        <f>IF(Table1[[#This Row],[Major Group]]&lt;&gt;"","n/a",IF(Table1[[#This Row],[Minor Group]]&lt;&gt;"","n/a",IF(Table1[[#This Row],[Broad Group]]&lt;&gt;"",Table1[[#This Row],[Broad Group]],I1104)))</f>
        <v>49-3010</v>
      </c>
      <c r="J11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Occupation]],J1104))))</f>
        <v>n/a</v>
      </c>
      <c r="K1105" s="2" t="str">
        <f>Table1[[#This Row],[Group Name]]</f>
        <v>Aircraft Mechanics and Service Technicians</v>
      </c>
    </row>
    <row r="1106" spans="3:11" ht="25.5" x14ac:dyDescent="0.25">
      <c r="D1106" s="5" t="s">
        <v>1996</v>
      </c>
      <c r="E1106" s="5" t="s">
        <v>1995</v>
      </c>
      <c r="F11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6" s="2" t="str">
        <f>IF(Table1[[#This Row],[Type]]="Major",Table1[[#This Row],[Major Group]],G1105)</f>
        <v>49-0000</v>
      </c>
      <c r="H1106" s="2" t="str">
        <f>IF(Table1[[#This Row],[Major Group]]&lt;&gt;"","n/a",IF(Table1[[#This Row],[Minor Group]]&lt;&gt;"",Table1[[#This Row],[Minor Group]],H1105))</f>
        <v>49-3000</v>
      </c>
      <c r="I1106" s="2" t="str">
        <f>IF(Table1[[#This Row],[Major Group]]&lt;&gt;"","n/a",IF(Table1[[#This Row],[Minor Group]]&lt;&gt;"","n/a",IF(Table1[[#This Row],[Broad Group]]&lt;&gt;"",Table1[[#This Row],[Broad Group]],I1105)))</f>
        <v>49-3010</v>
      </c>
      <c r="J11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Occupation]],J1105))))</f>
        <v>49-3011</v>
      </c>
      <c r="K1106" s="2" t="str">
        <f>Table1[[#This Row],[Group Name]]</f>
        <v>Aircraft Mechanics and Service Technicians</v>
      </c>
    </row>
    <row r="1107" spans="3:11" ht="30" x14ac:dyDescent="0.25">
      <c r="C1107" s="1" t="s">
        <v>1997</v>
      </c>
      <c r="E1107" s="1" t="s">
        <v>1998</v>
      </c>
      <c r="F11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07" s="2" t="str">
        <f>IF(Table1[[#This Row],[Type]]="Major",Table1[[#This Row],[Major Group]],G1106)</f>
        <v>49-0000</v>
      </c>
      <c r="H1107" s="2" t="str">
        <f>IF(Table1[[#This Row],[Major Group]]&lt;&gt;"","n/a",IF(Table1[[#This Row],[Minor Group]]&lt;&gt;"",Table1[[#This Row],[Minor Group]],H1106))</f>
        <v>49-3000</v>
      </c>
      <c r="I1107" s="2" t="str">
        <f>IF(Table1[[#This Row],[Major Group]]&lt;&gt;"","n/a",IF(Table1[[#This Row],[Minor Group]]&lt;&gt;"","n/a",IF(Table1[[#This Row],[Broad Group]]&lt;&gt;"",Table1[[#This Row],[Broad Group]],I1106)))</f>
        <v>49-3020</v>
      </c>
      <c r="J11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Occupation]],J1106))))</f>
        <v>n/a</v>
      </c>
      <c r="K1107" s="2" t="str">
        <f>Table1[[#This Row],[Group Name]]</f>
        <v>Automotive Technicians and Repairers</v>
      </c>
    </row>
    <row r="1108" spans="3:11" ht="25.5" x14ac:dyDescent="0.25">
      <c r="D1108" s="5" t="s">
        <v>1999</v>
      </c>
      <c r="E1108" s="5" t="s">
        <v>2000</v>
      </c>
      <c r="F11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8" s="2" t="str">
        <f>IF(Table1[[#This Row],[Type]]="Major",Table1[[#This Row],[Major Group]],G1107)</f>
        <v>49-0000</v>
      </c>
      <c r="H1108" s="2" t="str">
        <f>IF(Table1[[#This Row],[Major Group]]&lt;&gt;"","n/a",IF(Table1[[#This Row],[Minor Group]]&lt;&gt;"",Table1[[#This Row],[Minor Group]],H1107))</f>
        <v>49-3000</v>
      </c>
      <c r="I1108" s="2" t="str">
        <f>IF(Table1[[#This Row],[Major Group]]&lt;&gt;"","n/a",IF(Table1[[#This Row],[Minor Group]]&lt;&gt;"","n/a",IF(Table1[[#This Row],[Broad Group]]&lt;&gt;"",Table1[[#This Row],[Broad Group]],I1107)))</f>
        <v>49-3020</v>
      </c>
      <c r="J11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Occupation]],J1107))))</f>
        <v>49-3021</v>
      </c>
      <c r="K1108" s="2" t="str">
        <f>Table1[[#This Row],[Group Name]]</f>
        <v>Automotive Body and Related Repairers</v>
      </c>
    </row>
    <row r="1109" spans="3:11" ht="25.5" x14ac:dyDescent="0.25">
      <c r="D1109" s="5" t="s">
        <v>2001</v>
      </c>
      <c r="E1109" s="5" t="s">
        <v>2002</v>
      </c>
      <c r="F11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09" s="2" t="str">
        <f>IF(Table1[[#This Row],[Type]]="Major",Table1[[#This Row],[Major Group]],G1108)</f>
        <v>49-0000</v>
      </c>
      <c r="H1109" s="2" t="str">
        <f>IF(Table1[[#This Row],[Major Group]]&lt;&gt;"","n/a",IF(Table1[[#This Row],[Minor Group]]&lt;&gt;"",Table1[[#This Row],[Minor Group]],H1108))</f>
        <v>49-3000</v>
      </c>
      <c r="I1109" s="2" t="str">
        <f>IF(Table1[[#This Row],[Major Group]]&lt;&gt;"","n/a",IF(Table1[[#This Row],[Minor Group]]&lt;&gt;"","n/a",IF(Table1[[#This Row],[Broad Group]]&lt;&gt;"",Table1[[#This Row],[Broad Group]],I1108)))</f>
        <v>49-3020</v>
      </c>
      <c r="J11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Occupation]],J1108))))</f>
        <v>49-3022</v>
      </c>
      <c r="K1109" s="2" t="str">
        <f>Table1[[#This Row],[Group Name]]</f>
        <v>Automotive Glass Installers and Repairers</v>
      </c>
    </row>
    <row r="1110" spans="3:11" ht="25.5" x14ac:dyDescent="0.25">
      <c r="D1110" s="5" t="s">
        <v>2003</v>
      </c>
      <c r="E1110" s="5" t="s">
        <v>2004</v>
      </c>
      <c r="F11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10" s="2" t="str">
        <f>IF(Table1[[#This Row],[Type]]="Major",Table1[[#This Row],[Major Group]],G1109)</f>
        <v>49-0000</v>
      </c>
      <c r="H1110" s="2" t="str">
        <f>IF(Table1[[#This Row],[Major Group]]&lt;&gt;"","n/a",IF(Table1[[#This Row],[Minor Group]]&lt;&gt;"",Table1[[#This Row],[Minor Group]],H1109))</f>
        <v>49-3000</v>
      </c>
      <c r="I1110" s="2" t="str">
        <f>IF(Table1[[#This Row],[Major Group]]&lt;&gt;"","n/a",IF(Table1[[#This Row],[Minor Group]]&lt;&gt;"","n/a",IF(Table1[[#This Row],[Broad Group]]&lt;&gt;"",Table1[[#This Row],[Broad Group]],I1109)))</f>
        <v>49-3020</v>
      </c>
      <c r="J11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Occupation]],J1109))))</f>
        <v>49-3023</v>
      </c>
      <c r="K1110" s="2" t="str">
        <f>Table1[[#This Row],[Group Name]]</f>
        <v>Automotive Service Technicians and Mechanics</v>
      </c>
    </row>
    <row r="1111" spans="3:11" ht="30" x14ac:dyDescent="0.25">
      <c r="C1111" s="1" t="s">
        <v>2005</v>
      </c>
      <c r="E1111" s="1" t="s">
        <v>2006</v>
      </c>
      <c r="F11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11" s="2" t="str">
        <f>IF(Table1[[#This Row],[Type]]="Major",Table1[[#This Row],[Major Group]],G1110)</f>
        <v>49-0000</v>
      </c>
      <c r="H1111" s="2" t="str">
        <f>IF(Table1[[#This Row],[Major Group]]&lt;&gt;"","n/a",IF(Table1[[#This Row],[Minor Group]]&lt;&gt;"",Table1[[#This Row],[Minor Group]],H1110))</f>
        <v>49-3000</v>
      </c>
      <c r="I1111" s="2" t="str">
        <f>IF(Table1[[#This Row],[Major Group]]&lt;&gt;"","n/a",IF(Table1[[#This Row],[Minor Group]]&lt;&gt;"","n/a",IF(Table1[[#This Row],[Broad Group]]&lt;&gt;"",Table1[[#This Row],[Broad Group]],I1110)))</f>
        <v>49-3030</v>
      </c>
      <c r="J11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Occupation]],J1110))))</f>
        <v>n/a</v>
      </c>
      <c r="K1111" s="2" t="str">
        <f>Table1[[#This Row],[Group Name]]</f>
        <v>Bus and Truck Mechanics and Diesel Engine Specialists</v>
      </c>
    </row>
    <row r="1112" spans="3:11" ht="25.5" x14ac:dyDescent="0.25">
      <c r="D1112" s="5" t="s">
        <v>2007</v>
      </c>
      <c r="E1112" s="5" t="s">
        <v>2006</v>
      </c>
      <c r="F11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12" s="2" t="str">
        <f>IF(Table1[[#This Row],[Type]]="Major",Table1[[#This Row],[Major Group]],G1111)</f>
        <v>49-0000</v>
      </c>
      <c r="H1112" s="2" t="str">
        <f>IF(Table1[[#This Row],[Major Group]]&lt;&gt;"","n/a",IF(Table1[[#This Row],[Minor Group]]&lt;&gt;"",Table1[[#This Row],[Minor Group]],H1111))</f>
        <v>49-3000</v>
      </c>
      <c r="I1112" s="2" t="str">
        <f>IF(Table1[[#This Row],[Major Group]]&lt;&gt;"","n/a",IF(Table1[[#This Row],[Minor Group]]&lt;&gt;"","n/a",IF(Table1[[#This Row],[Broad Group]]&lt;&gt;"",Table1[[#This Row],[Broad Group]],I1111)))</f>
        <v>49-3030</v>
      </c>
      <c r="J11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Occupation]],J1111))))</f>
        <v>49-3031</v>
      </c>
      <c r="K1112" s="2" t="str">
        <f>Table1[[#This Row],[Group Name]]</f>
        <v>Bus and Truck Mechanics and Diesel Engine Specialists</v>
      </c>
    </row>
    <row r="1113" spans="3:11" ht="45" x14ac:dyDescent="0.25">
      <c r="C1113" s="1" t="s">
        <v>2008</v>
      </c>
      <c r="E1113" s="1" t="s">
        <v>2009</v>
      </c>
      <c r="F11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13" s="2" t="str">
        <f>IF(Table1[[#This Row],[Type]]="Major",Table1[[#This Row],[Major Group]],G1112)</f>
        <v>49-0000</v>
      </c>
      <c r="H1113" s="2" t="str">
        <f>IF(Table1[[#This Row],[Major Group]]&lt;&gt;"","n/a",IF(Table1[[#This Row],[Minor Group]]&lt;&gt;"",Table1[[#This Row],[Minor Group]],H1112))</f>
        <v>49-3000</v>
      </c>
      <c r="I1113" s="2" t="str">
        <f>IF(Table1[[#This Row],[Major Group]]&lt;&gt;"","n/a",IF(Table1[[#This Row],[Minor Group]]&lt;&gt;"","n/a",IF(Table1[[#This Row],[Broad Group]]&lt;&gt;"",Table1[[#This Row],[Broad Group]],I1112)))</f>
        <v>49-3040</v>
      </c>
      <c r="J11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Occupation]],J1112))))</f>
        <v>n/a</v>
      </c>
      <c r="K1113" s="2" t="str">
        <f>Table1[[#This Row],[Group Name]]</f>
        <v>Heavy Vehicle and Mobile Equipment Service Technicians and Mechanics</v>
      </c>
    </row>
    <row r="1114" spans="3:11" ht="25.5" x14ac:dyDescent="0.25">
      <c r="D1114" s="5" t="s">
        <v>2010</v>
      </c>
      <c r="E1114" s="5" t="s">
        <v>2011</v>
      </c>
      <c r="F11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14" s="2" t="str">
        <f>IF(Table1[[#This Row],[Type]]="Major",Table1[[#This Row],[Major Group]],G1113)</f>
        <v>49-0000</v>
      </c>
      <c r="H1114" s="2" t="str">
        <f>IF(Table1[[#This Row],[Major Group]]&lt;&gt;"","n/a",IF(Table1[[#This Row],[Minor Group]]&lt;&gt;"",Table1[[#This Row],[Minor Group]],H1113))</f>
        <v>49-3000</v>
      </c>
      <c r="I1114" s="2" t="str">
        <f>IF(Table1[[#This Row],[Major Group]]&lt;&gt;"","n/a",IF(Table1[[#This Row],[Minor Group]]&lt;&gt;"","n/a",IF(Table1[[#This Row],[Broad Group]]&lt;&gt;"",Table1[[#This Row],[Broad Group]],I1113)))</f>
        <v>49-3040</v>
      </c>
      <c r="J11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Occupation]],J1113))))</f>
        <v>49-3041</v>
      </c>
      <c r="K1114" s="2" t="str">
        <f>Table1[[#This Row],[Group Name]]</f>
        <v>Farm Equipment Mechanics and Service Technicians</v>
      </c>
    </row>
    <row r="1115" spans="3:11" ht="25.5" x14ac:dyDescent="0.25">
      <c r="D1115" s="5" t="s">
        <v>2012</v>
      </c>
      <c r="E1115" s="5" t="s">
        <v>2013</v>
      </c>
      <c r="F11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15" s="2" t="str">
        <f>IF(Table1[[#This Row],[Type]]="Major",Table1[[#This Row],[Major Group]],G1114)</f>
        <v>49-0000</v>
      </c>
      <c r="H1115" s="2" t="str">
        <f>IF(Table1[[#This Row],[Major Group]]&lt;&gt;"","n/a",IF(Table1[[#This Row],[Minor Group]]&lt;&gt;"",Table1[[#This Row],[Minor Group]],H1114))</f>
        <v>49-3000</v>
      </c>
      <c r="I1115" s="2" t="str">
        <f>IF(Table1[[#This Row],[Major Group]]&lt;&gt;"","n/a",IF(Table1[[#This Row],[Minor Group]]&lt;&gt;"","n/a",IF(Table1[[#This Row],[Broad Group]]&lt;&gt;"",Table1[[#This Row],[Broad Group]],I1114)))</f>
        <v>49-3040</v>
      </c>
      <c r="J11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Occupation]],J1114))))</f>
        <v>49-3042</v>
      </c>
      <c r="K1115" s="2" t="str">
        <f>Table1[[#This Row],[Group Name]]</f>
        <v>Mobile Heavy Equipment Mechanics, Except Engines</v>
      </c>
    </row>
    <row r="1116" spans="3:11" x14ac:dyDescent="0.25">
      <c r="D1116" s="5" t="s">
        <v>2014</v>
      </c>
      <c r="E1116" s="5" t="s">
        <v>2015</v>
      </c>
      <c r="F11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16" s="2" t="str">
        <f>IF(Table1[[#This Row],[Type]]="Major",Table1[[#This Row],[Major Group]],G1115)</f>
        <v>49-0000</v>
      </c>
      <c r="H1116" s="2" t="str">
        <f>IF(Table1[[#This Row],[Major Group]]&lt;&gt;"","n/a",IF(Table1[[#This Row],[Minor Group]]&lt;&gt;"",Table1[[#This Row],[Minor Group]],H1115))</f>
        <v>49-3000</v>
      </c>
      <c r="I1116" s="2" t="str">
        <f>IF(Table1[[#This Row],[Major Group]]&lt;&gt;"","n/a",IF(Table1[[#This Row],[Minor Group]]&lt;&gt;"","n/a",IF(Table1[[#This Row],[Broad Group]]&lt;&gt;"",Table1[[#This Row],[Broad Group]],I1115)))</f>
        <v>49-3040</v>
      </c>
      <c r="J11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Occupation]],J1115))))</f>
        <v>49-3043</v>
      </c>
      <c r="K1116" s="2" t="str">
        <f>Table1[[#This Row],[Group Name]]</f>
        <v>Rail Car Repairers</v>
      </c>
    </row>
    <row r="1117" spans="3:11" x14ac:dyDescent="0.25">
      <c r="C1117" s="1" t="s">
        <v>2016</v>
      </c>
      <c r="E1117" s="1" t="s">
        <v>2017</v>
      </c>
      <c r="F11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17" s="2" t="str">
        <f>IF(Table1[[#This Row],[Type]]="Major",Table1[[#This Row],[Major Group]],G1116)</f>
        <v>49-0000</v>
      </c>
      <c r="H1117" s="2" t="str">
        <f>IF(Table1[[#This Row],[Major Group]]&lt;&gt;"","n/a",IF(Table1[[#This Row],[Minor Group]]&lt;&gt;"",Table1[[#This Row],[Minor Group]],H1116))</f>
        <v>49-3000</v>
      </c>
      <c r="I1117" s="2" t="str">
        <f>IF(Table1[[#This Row],[Major Group]]&lt;&gt;"","n/a",IF(Table1[[#This Row],[Minor Group]]&lt;&gt;"","n/a",IF(Table1[[#This Row],[Broad Group]]&lt;&gt;"",Table1[[#This Row],[Broad Group]],I1116)))</f>
        <v>49-3050</v>
      </c>
      <c r="J11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Occupation]],J1116))))</f>
        <v>n/a</v>
      </c>
      <c r="K1117" s="2" t="str">
        <f>Table1[[#This Row],[Group Name]]</f>
        <v>Small Engine Mechanics</v>
      </c>
    </row>
    <row r="1118" spans="3:11" ht="25.5" x14ac:dyDescent="0.25">
      <c r="D1118" s="5" t="s">
        <v>2018</v>
      </c>
      <c r="E1118" s="5" t="s">
        <v>2019</v>
      </c>
      <c r="F11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18" s="2" t="str">
        <f>IF(Table1[[#This Row],[Type]]="Major",Table1[[#This Row],[Major Group]],G1117)</f>
        <v>49-0000</v>
      </c>
      <c r="H1118" s="2" t="str">
        <f>IF(Table1[[#This Row],[Major Group]]&lt;&gt;"","n/a",IF(Table1[[#This Row],[Minor Group]]&lt;&gt;"",Table1[[#This Row],[Minor Group]],H1117))</f>
        <v>49-3000</v>
      </c>
      <c r="I1118" s="2" t="str">
        <f>IF(Table1[[#This Row],[Major Group]]&lt;&gt;"","n/a",IF(Table1[[#This Row],[Minor Group]]&lt;&gt;"","n/a",IF(Table1[[#This Row],[Broad Group]]&lt;&gt;"",Table1[[#This Row],[Broad Group]],I1117)))</f>
        <v>49-3050</v>
      </c>
      <c r="J11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Occupation]],J1117))))</f>
        <v>49-3051</v>
      </c>
      <c r="K1118" s="2" t="str">
        <f>Table1[[#This Row],[Group Name]]</f>
        <v>Motorboat Mechanics and Service Technicians</v>
      </c>
    </row>
    <row r="1119" spans="3:11" x14ac:dyDescent="0.25">
      <c r="D1119" s="5" t="s">
        <v>2020</v>
      </c>
      <c r="E1119" s="5" t="s">
        <v>2021</v>
      </c>
      <c r="F11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19" s="2" t="str">
        <f>IF(Table1[[#This Row],[Type]]="Major",Table1[[#This Row],[Major Group]],G1118)</f>
        <v>49-0000</v>
      </c>
      <c r="H1119" s="2" t="str">
        <f>IF(Table1[[#This Row],[Major Group]]&lt;&gt;"","n/a",IF(Table1[[#This Row],[Minor Group]]&lt;&gt;"",Table1[[#This Row],[Minor Group]],H1118))</f>
        <v>49-3000</v>
      </c>
      <c r="I1119" s="2" t="str">
        <f>IF(Table1[[#This Row],[Major Group]]&lt;&gt;"","n/a",IF(Table1[[#This Row],[Minor Group]]&lt;&gt;"","n/a",IF(Table1[[#This Row],[Broad Group]]&lt;&gt;"",Table1[[#This Row],[Broad Group]],I1118)))</f>
        <v>49-3050</v>
      </c>
      <c r="J11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Occupation]],J1118))))</f>
        <v>49-3052</v>
      </c>
      <c r="K1119" s="2" t="str">
        <f>Table1[[#This Row],[Group Name]]</f>
        <v>Motorcycle Mechanics</v>
      </c>
    </row>
    <row r="1120" spans="3:11" ht="25.5" x14ac:dyDescent="0.25">
      <c r="D1120" s="5" t="s">
        <v>2022</v>
      </c>
      <c r="E1120" s="5" t="s">
        <v>2023</v>
      </c>
      <c r="F11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20" s="2" t="str">
        <f>IF(Table1[[#This Row],[Type]]="Major",Table1[[#This Row],[Major Group]],G1119)</f>
        <v>49-0000</v>
      </c>
      <c r="H1120" s="2" t="str">
        <f>IF(Table1[[#This Row],[Major Group]]&lt;&gt;"","n/a",IF(Table1[[#This Row],[Minor Group]]&lt;&gt;"",Table1[[#This Row],[Minor Group]],H1119))</f>
        <v>49-3000</v>
      </c>
      <c r="I1120" s="2" t="str">
        <f>IF(Table1[[#This Row],[Major Group]]&lt;&gt;"","n/a",IF(Table1[[#This Row],[Minor Group]]&lt;&gt;"","n/a",IF(Table1[[#This Row],[Broad Group]]&lt;&gt;"",Table1[[#This Row],[Broad Group]],I1119)))</f>
        <v>49-3050</v>
      </c>
      <c r="J11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Occupation]],J1119))))</f>
        <v>49-3053</v>
      </c>
      <c r="K1120" s="2" t="str">
        <f>Table1[[#This Row],[Group Name]]</f>
        <v>Outdoor Power Equipment and Other Small Engine Mechanics</v>
      </c>
    </row>
    <row r="1121" spans="2:11" ht="45" x14ac:dyDescent="0.25">
      <c r="C1121" s="1" t="s">
        <v>2024</v>
      </c>
      <c r="E1121" s="1" t="s">
        <v>2025</v>
      </c>
      <c r="F11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21" s="2" t="str">
        <f>IF(Table1[[#This Row],[Type]]="Major",Table1[[#This Row],[Major Group]],G1120)</f>
        <v>49-0000</v>
      </c>
      <c r="H1121" s="2" t="str">
        <f>IF(Table1[[#This Row],[Major Group]]&lt;&gt;"","n/a",IF(Table1[[#This Row],[Minor Group]]&lt;&gt;"",Table1[[#This Row],[Minor Group]],H1120))</f>
        <v>49-3000</v>
      </c>
      <c r="I1121" s="2" t="str">
        <f>IF(Table1[[#This Row],[Major Group]]&lt;&gt;"","n/a",IF(Table1[[#This Row],[Minor Group]]&lt;&gt;"","n/a",IF(Table1[[#This Row],[Broad Group]]&lt;&gt;"",Table1[[#This Row],[Broad Group]],I1120)))</f>
        <v>49-3090</v>
      </c>
      <c r="J11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Occupation]],J1120))))</f>
        <v>n/a</v>
      </c>
      <c r="K1121" s="2" t="str">
        <f>Table1[[#This Row],[Group Name]]</f>
        <v>Miscellaneous Vehicle and Mobile Equipment Mechanics, Installers, and Repairers</v>
      </c>
    </row>
    <row r="1122" spans="2:11" x14ac:dyDescent="0.25">
      <c r="D1122" s="5" t="s">
        <v>2026</v>
      </c>
      <c r="E1122" s="5" t="s">
        <v>2027</v>
      </c>
      <c r="F11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22" s="2" t="str">
        <f>IF(Table1[[#This Row],[Type]]="Major",Table1[[#This Row],[Major Group]],G1121)</f>
        <v>49-0000</v>
      </c>
      <c r="H1122" s="2" t="str">
        <f>IF(Table1[[#This Row],[Major Group]]&lt;&gt;"","n/a",IF(Table1[[#This Row],[Minor Group]]&lt;&gt;"",Table1[[#This Row],[Minor Group]],H1121))</f>
        <v>49-3000</v>
      </c>
      <c r="I1122" s="2" t="str">
        <f>IF(Table1[[#This Row],[Major Group]]&lt;&gt;"","n/a",IF(Table1[[#This Row],[Minor Group]]&lt;&gt;"","n/a",IF(Table1[[#This Row],[Broad Group]]&lt;&gt;"",Table1[[#This Row],[Broad Group]],I1121)))</f>
        <v>49-3090</v>
      </c>
      <c r="J11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Occupation]],J1121))))</f>
        <v>49-3091</v>
      </c>
      <c r="K1122" s="2" t="str">
        <f>Table1[[#This Row],[Group Name]]</f>
        <v>Bicycle Repairers</v>
      </c>
    </row>
    <row r="1123" spans="2:11" ht="25.5" x14ac:dyDescent="0.25">
      <c r="D1123" s="5" t="s">
        <v>2028</v>
      </c>
      <c r="E1123" s="5" t="s">
        <v>2029</v>
      </c>
      <c r="F11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23" s="2" t="str">
        <f>IF(Table1[[#This Row],[Type]]="Major",Table1[[#This Row],[Major Group]],G1122)</f>
        <v>49-0000</v>
      </c>
      <c r="H1123" s="2" t="str">
        <f>IF(Table1[[#This Row],[Major Group]]&lt;&gt;"","n/a",IF(Table1[[#This Row],[Minor Group]]&lt;&gt;"",Table1[[#This Row],[Minor Group]],H1122))</f>
        <v>49-3000</v>
      </c>
      <c r="I1123" s="2" t="str">
        <f>IF(Table1[[#This Row],[Major Group]]&lt;&gt;"","n/a",IF(Table1[[#This Row],[Minor Group]]&lt;&gt;"","n/a",IF(Table1[[#This Row],[Broad Group]]&lt;&gt;"",Table1[[#This Row],[Broad Group]],I1122)))</f>
        <v>49-3090</v>
      </c>
      <c r="J11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Occupation]],J1122))))</f>
        <v>49-3092</v>
      </c>
      <c r="K1123" s="2" t="str">
        <f>Table1[[#This Row],[Group Name]]</f>
        <v>Recreational Vehicle Service Technicians</v>
      </c>
    </row>
    <row r="1124" spans="2:11" x14ac:dyDescent="0.25">
      <c r="D1124" s="5" t="s">
        <v>2030</v>
      </c>
      <c r="E1124" s="5" t="s">
        <v>2031</v>
      </c>
      <c r="F11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24" s="2" t="str">
        <f>IF(Table1[[#This Row],[Type]]="Major",Table1[[#This Row],[Major Group]],G1123)</f>
        <v>49-0000</v>
      </c>
      <c r="H1124" s="2" t="str">
        <f>IF(Table1[[#This Row],[Major Group]]&lt;&gt;"","n/a",IF(Table1[[#This Row],[Minor Group]]&lt;&gt;"",Table1[[#This Row],[Minor Group]],H1123))</f>
        <v>49-3000</v>
      </c>
      <c r="I1124" s="2" t="str">
        <f>IF(Table1[[#This Row],[Major Group]]&lt;&gt;"","n/a",IF(Table1[[#This Row],[Minor Group]]&lt;&gt;"","n/a",IF(Table1[[#This Row],[Broad Group]]&lt;&gt;"",Table1[[#This Row],[Broad Group]],I1123)))</f>
        <v>49-3090</v>
      </c>
      <c r="J11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Occupation]],J1123))))</f>
        <v>49-3093</v>
      </c>
      <c r="K1124" s="2" t="str">
        <f>Table1[[#This Row],[Group Name]]</f>
        <v>Tire Repairers and Changers</v>
      </c>
    </row>
    <row r="1125" spans="2:11" x14ac:dyDescent="0.25">
      <c r="B1125" s="3" t="s">
        <v>2032</v>
      </c>
      <c r="E1125" s="3" t="s">
        <v>2033</v>
      </c>
      <c r="F11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125" s="2" t="str">
        <f>IF(Table1[[#This Row],[Type]]="Major",Table1[[#This Row],[Major Group]],G1124)</f>
        <v>49-0000</v>
      </c>
      <c r="H1125" s="2" t="str">
        <f>IF(Table1[[#This Row],[Major Group]]&lt;&gt;"","n/a",IF(Table1[[#This Row],[Minor Group]]&lt;&gt;"",Table1[[#This Row],[Minor Group]],H1124))</f>
        <v>49-9000</v>
      </c>
      <c r="I1125" s="2" t="str">
        <f>IF(Table1[[#This Row],[Major Group]]&lt;&gt;"","n/a",IF(Table1[[#This Row],[Minor Group]]&lt;&gt;"","n/a",IF(Table1[[#This Row],[Broad Group]]&lt;&gt;"",Table1[[#This Row],[Broad Group]],I1124)))</f>
        <v>n/a</v>
      </c>
      <c r="J11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Occupation]],J1124))))</f>
        <v>n/a</v>
      </c>
      <c r="K1125" s="2" t="str">
        <f>Table1[[#This Row],[Group Name]]</f>
        <v>Other Installation, Maintenance, and Repair Occupations</v>
      </c>
    </row>
    <row r="1126" spans="2:11" ht="30" x14ac:dyDescent="0.25">
      <c r="C1126" s="1" t="s">
        <v>2034</v>
      </c>
      <c r="E1126" s="1" t="s">
        <v>2035</v>
      </c>
      <c r="F11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26" s="2" t="str">
        <f>IF(Table1[[#This Row],[Type]]="Major",Table1[[#This Row],[Major Group]],G1125)</f>
        <v>49-0000</v>
      </c>
      <c r="H1126" s="2" t="str">
        <f>IF(Table1[[#This Row],[Major Group]]&lt;&gt;"","n/a",IF(Table1[[#This Row],[Minor Group]]&lt;&gt;"",Table1[[#This Row],[Minor Group]],H1125))</f>
        <v>49-9000</v>
      </c>
      <c r="I1126" s="2" t="str">
        <f>IF(Table1[[#This Row],[Major Group]]&lt;&gt;"","n/a",IF(Table1[[#This Row],[Minor Group]]&lt;&gt;"","n/a",IF(Table1[[#This Row],[Broad Group]]&lt;&gt;"",Table1[[#This Row],[Broad Group]],I1125)))</f>
        <v>49-9010</v>
      </c>
      <c r="J11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Occupation]],J1125))))</f>
        <v>n/a</v>
      </c>
      <c r="K1126" s="2" t="str">
        <f>Table1[[#This Row],[Group Name]]</f>
        <v>Control and Valve Installers and Repairers</v>
      </c>
    </row>
    <row r="1127" spans="2:11" x14ac:dyDescent="0.25">
      <c r="D1127" s="5" t="s">
        <v>2036</v>
      </c>
      <c r="E1127" s="5" t="s">
        <v>2037</v>
      </c>
      <c r="F11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27" s="2" t="str">
        <f>IF(Table1[[#This Row],[Type]]="Major",Table1[[#This Row],[Major Group]],G1126)</f>
        <v>49-0000</v>
      </c>
      <c r="H1127" s="2" t="str">
        <f>IF(Table1[[#This Row],[Major Group]]&lt;&gt;"","n/a",IF(Table1[[#This Row],[Minor Group]]&lt;&gt;"",Table1[[#This Row],[Minor Group]],H1126))</f>
        <v>49-9000</v>
      </c>
      <c r="I1127" s="2" t="str">
        <f>IF(Table1[[#This Row],[Major Group]]&lt;&gt;"","n/a",IF(Table1[[#This Row],[Minor Group]]&lt;&gt;"","n/a",IF(Table1[[#This Row],[Broad Group]]&lt;&gt;"",Table1[[#This Row],[Broad Group]],I1126)))</f>
        <v>49-9010</v>
      </c>
      <c r="J11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Occupation]],J1126))))</f>
        <v>49-9011</v>
      </c>
      <c r="K1127" s="2" t="str">
        <f>Table1[[#This Row],[Group Name]]</f>
        <v>Mechanical Door Repairers</v>
      </c>
    </row>
    <row r="1128" spans="2:11" ht="25.5" x14ac:dyDescent="0.25">
      <c r="D1128" s="5" t="s">
        <v>2038</v>
      </c>
      <c r="E1128" s="5" t="s">
        <v>2039</v>
      </c>
      <c r="F11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28" s="2" t="str">
        <f>IF(Table1[[#This Row],[Type]]="Major",Table1[[#This Row],[Major Group]],G1127)</f>
        <v>49-0000</v>
      </c>
      <c r="H1128" s="2" t="str">
        <f>IF(Table1[[#This Row],[Major Group]]&lt;&gt;"","n/a",IF(Table1[[#This Row],[Minor Group]]&lt;&gt;"",Table1[[#This Row],[Minor Group]],H1127))</f>
        <v>49-9000</v>
      </c>
      <c r="I1128" s="2" t="str">
        <f>IF(Table1[[#This Row],[Major Group]]&lt;&gt;"","n/a",IF(Table1[[#This Row],[Minor Group]]&lt;&gt;"","n/a",IF(Table1[[#This Row],[Broad Group]]&lt;&gt;"",Table1[[#This Row],[Broad Group]],I1127)))</f>
        <v>49-9010</v>
      </c>
      <c r="J11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Occupation]],J1127))))</f>
        <v>49-9012</v>
      </c>
      <c r="K1128" s="2" t="str">
        <f>Table1[[#This Row],[Group Name]]</f>
        <v>Control and Valve Installers and Repairers, Except Mechanical Door</v>
      </c>
    </row>
    <row r="1129" spans="2:11" ht="45" x14ac:dyDescent="0.25">
      <c r="C1129" s="1" t="s">
        <v>2040</v>
      </c>
      <c r="E1129" s="1" t="s">
        <v>2041</v>
      </c>
      <c r="F11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29" s="2" t="str">
        <f>IF(Table1[[#This Row],[Type]]="Major",Table1[[#This Row],[Major Group]],G1128)</f>
        <v>49-0000</v>
      </c>
      <c r="H1129" s="2" t="str">
        <f>IF(Table1[[#This Row],[Major Group]]&lt;&gt;"","n/a",IF(Table1[[#This Row],[Minor Group]]&lt;&gt;"",Table1[[#This Row],[Minor Group]],H1128))</f>
        <v>49-9000</v>
      </c>
      <c r="I1129" s="2" t="str">
        <f>IF(Table1[[#This Row],[Major Group]]&lt;&gt;"","n/a",IF(Table1[[#This Row],[Minor Group]]&lt;&gt;"","n/a",IF(Table1[[#This Row],[Broad Group]]&lt;&gt;"",Table1[[#This Row],[Broad Group]],I1128)))</f>
        <v>49-9020</v>
      </c>
      <c r="J11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Occupation]],J1128))))</f>
        <v>n/a</v>
      </c>
      <c r="K1129" s="2" t="str">
        <f>Table1[[#This Row],[Group Name]]</f>
        <v>Heating, Air Conditioning, and Refrigeration Mechanics and Installers</v>
      </c>
    </row>
    <row r="1130" spans="2:11" ht="38.25" x14ac:dyDescent="0.25">
      <c r="D1130" s="5" t="s">
        <v>2042</v>
      </c>
      <c r="E1130" s="5" t="s">
        <v>2041</v>
      </c>
      <c r="F11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0" s="2" t="str">
        <f>IF(Table1[[#This Row],[Type]]="Major",Table1[[#This Row],[Major Group]],G1129)</f>
        <v>49-0000</v>
      </c>
      <c r="H1130" s="2" t="str">
        <f>IF(Table1[[#This Row],[Major Group]]&lt;&gt;"","n/a",IF(Table1[[#This Row],[Minor Group]]&lt;&gt;"",Table1[[#This Row],[Minor Group]],H1129))</f>
        <v>49-9000</v>
      </c>
      <c r="I1130" s="2" t="str">
        <f>IF(Table1[[#This Row],[Major Group]]&lt;&gt;"","n/a",IF(Table1[[#This Row],[Minor Group]]&lt;&gt;"","n/a",IF(Table1[[#This Row],[Broad Group]]&lt;&gt;"",Table1[[#This Row],[Broad Group]],I1129)))</f>
        <v>49-9020</v>
      </c>
      <c r="J11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Occupation]],J1129))))</f>
        <v>49-9021</v>
      </c>
      <c r="K1130" s="2" t="str">
        <f>Table1[[#This Row],[Group Name]]</f>
        <v>Heating, Air Conditioning, and Refrigeration Mechanics and Installers</v>
      </c>
    </row>
    <row r="1131" spans="2:11" x14ac:dyDescent="0.25">
      <c r="C1131" s="1" t="s">
        <v>2043</v>
      </c>
      <c r="E1131" s="1" t="s">
        <v>2044</v>
      </c>
      <c r="F11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31" s="2" t="str">
        <f>IF(Table1[[#This Row],[Type]]="Major",Table1[[#This Row],[Major Group]],G1130)</f>
        <v>49-0000</v>
      </c>
      <c r="H1131" s="2" t="str">
        <f>IF(Table1[[#This Row],[Major Group]]&lt;&gt;"","n/a",IF(Table1[[#This Row],[Minor Group]]&lt;&gt;"",Table1[[#This Row],[Minor Group]],H1130))</f>
        <v>49-9000</v>
      </c>
      <c r="I1131" s="2" t="str">
        <f>IF(Table1[[#This Row],[Major Group]]&lt;&gt;"","n/a",IF(Table1[[#This Row],[Minor Group]]&lt;&gt;"","n/a",IF(Table1[[#This Row],[Broad Group]]&lt;&gt;"",Table1[[#This Row],[Broad Group]],I1130)))</f>
        <v>49-9030</v>
      </c>
      <c r="J11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Occupation]],J1130))))</f>
        <v>n/a</v>
      </c>
      <c r="K1131" s="2" t="str">
        <f>Table1[[#This Row],[Group Name]]</f>
        <v>Home Appliance Repairers</v>
      </c>
    </row>
    <row r="1132" spans="2:11" x14ac:dyDescent="0.25">
      <c r="D1132" s="5" t="s">
        <v>2045</v>
      </c>
      <c r="E1132" s="5" t="s">
        <v>2044</v>
      </c>
      <c r="F11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2" s="2" t="str">
        <f>IF(Table1[[#This Row],[Type]]="Major",Table1[[#This Row],[Major Group]],G1131)</f>
        <v>49-0000</v>
      </c>
      <c r="H1132" s="2" t="str">
        <f>IF(Table1[[#This Row],[Major Group]]&lt;&gt;"","n/a",IF(Table1[[#This Row],[Minor Group]]&lt;&gt;"",Table1[[#This Row],[Minor Group]],H1131))</f>
        <v>49-9000</v>
      </c>
      <c r="I1132" s="2" t="str">
        <f>IF(Table1[[#This Row],[Major Group]]&lt;&gt;"","n/a",IF(Table1[[#This Row],[Minor Group]]&lt;&gt;"","n/a",IF(Table1[[#This Row],[Broad Group]]&lt;&gt;"",Table1[[#This Row],[Broad Group]],I1131)))</f>
        <v>49-9030</v>
      </c>
      <c r="J11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Occupation]],J1131))))</f>
        <v>49-9031</v>
      </c>
      <c r="K1132" s="2" t="str">
        <f>Table1[[#This Row],[Group Name]]</f>
        <v>Home Appliance Repairers</v>
      </c>
    </row>
    <row r="1133" spans="2:11" ht="30" x14ac:dyDescent="0.25">
      <c r="C1133" s="1" t="s">
        <v>2046</v>
      </c>
      <c r="E1133" s="1" t="s">
        <v>2047</v>
      </c>
      <c r="F11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33" s="2" t="str">
        <f>IF(Table1[[#This Row],[Type]]="Major",Table1[[#This Row],[Major Group]],G1132)</f>
        <v>49-0000</v>
      </c>
      <c r="H1133" s="2" t="str">
        <f>IF(Table1[[#This Row],[Major Group]]&lt;&gt;"","n/a",IF(Table1[[#This Row],[Minor Group]]&lt;&gt;"",Table1[[#This Row],[Minor Group]],H1132))</f>
        <v>49-9000</v>
      </c>
      <c r="I1133" s="2" t="str">
        <f>IF(Table1[[#This Row],[Major Group]]&lt;&gt;"","n/a",IF(Table1[[#This Row],[Minor Group]]&lt;&gt;"","n/a",IF(Table1[[#This Row],[Broad Group]]&lt;&gt;"",Table1[[#This Row],[Broad Group]],I1132)))</f>
        <v>49-9040</v>
      </c>
      <c r="J11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Occupation]],J1132))))</f>
        <v>n/a</v>
      </c>
      <c r="K1133" s="2" t="str">
        <f>Table1[[#This Row],[Group Name]]</f>
        <v>Industrial Machinery Installation, Repair, and Maintenance Workers</v>
      </c>
    </row>
    <row r="1134" spans="2:11" x14ac:dyDescent="0.25">
      <c r="D1134" s="5" t="s">
        <v>2048</v>
      </c>
      <c r="E1134" s="5" t="s">
        <v>2049</v>
      </c>
      <c r="F11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4" s="2" t="str">
        <f>IF(Table1[[#This Row],[Type]]="Major",Table1[[#This Row],[Major Group]],G1133)</f>
        <v>49-0000</v>
      </c>
      <c r="H1134" s="2" t="str">
        <f>IF(Table1[[#This Row],[Major Group]]&lt;&gt;"","n/a",IF(Table1[[#This Row],[Minor Group]]&lt;&gt;"",Table1[[#This Row],[Minor Group]],H1133))</f>
        <v>49-9000</v>
      </c>
      <c r="I1134" s="2" t="str">
        <f>IF(Table1[[#This Row],[Major Group]]&lt;&gt;"","n/a",IF(Table1[[#This Row],[Minor Group]]&lt;&gt;"","n/a",IF(Table1[[#This Row],[Broad Group]]&lt;&gt;"",Table1[[#This Row],[Broad Group]],I1133)))</f>
        <v>49-9040</v>
      </c>
      <c r="J11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Occupation]],J1133))))</f>
        <v>49-9041</v>
      </c>
      <c r="K1134" s="2" t="str">
        <f>Table1[[#This Row],[Group Name]]</f>
        <v>Industrial Machinery Mechanics</v>
      </c>
    </row>
    <row r="1135" spans="2:11" x14ac:dyDescent="0.25">
      <c r="D1135" s="5" t="s">
        <v>2050</v>
      </c>
      <c r="E1135" s="5" t="s">
        <v>2051</v>
      </c>
      <c r="F11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5" s="2" t="str">
        <f>IF(Table1[[#This Row],[Type]]="Major",Table1[[#This Row],[Major Group]],G1134)</f>
        <v>49-0000</v>
      </c>
      <c r="H1135" s="2" t="str">
        <f>IF(Table1[[#This Row],[Major Group]]&lt;&gt;"","n/a",IF(Table1[[#This Row],[Minor Group]]&lt;&gt;"",Table1[[#This Row],[Minor Group]],H1134))</f>
        <v>49-9000</v>
      </c>
      <c r="I1135" s="2" t="str">
        <f>IF(Table1[[#This Row],[Major Group]]&lt;&gt;"","n/a",IF(Table1[[#This Row],[Minor Group]]&lt;&gt;"","n/a",IF(Table1[[#This Row],[Broad Group]]&lt;&gt;"",Table1[[#This Row],[Broad Group]],I1134)))</f>
        <v>49-9040</v>
      </c>
      <c r="J11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Occupation]],J1134))))</f>
        <v>49-9043</v>
      </c>
      <c r="K1135" s="2" t="str">
        <f>Table1[[#This Row],[Group Name]]</f>
        <v>Maintenance Workers, Machinery</v>
      </c>
    </row>
    <row r="1136" spans="2:11" x14ac:dyDescent="0.25">
      <c r="D1136" s="5" t="s">
        <v>2052</v>
      </c>
      <c r="E1136" s="5" t="s">
        <v>2053</v>
      </c>
      <c r="F11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6" s="2" t="str">
        <f>IF(Table1[[#This Row],[Type]]="Major",Table1[[#This Row],[Major Group]],G1135)</f>
        <v>49-0000</v>
      </c>
      <c r="H1136" s="2" t="str">
        <f>IF(Table1[[#This Row],[Major Group]]&lt;&gt;"","n/a",IF(Table1[[#This Row],[Minor Group]]&lt;&gt;"",Table1[[#This Row],[Minor Group]],H1135))</f>
        <v>49-9000</v>
      </c>
      <c r="I1136" s="2" t="str">
        <f>IF(Table1[[#This Row],[Major Group]]&lt;&gt;"","n/a",IF(Table1[[#This Row],[Minor Group]]&lt;&gt;"","n/a",IF(Table1[[#This Row],[Broad Group]]&lt;&gt;"",Table1[[#This Row],[Broad Group]],I1135)))</f>
        <v>49-9040</v>
      </c>
      <c r="J11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Occupation]],J1135))))</f>
        <v>49-9044</v>
      </c>
      <c r="K1136" s="2" t="str">
        <f>Table1[[#This Row],[Group Name]]</f>
        <v>Millwrights</v>
      </c>
    </row>
    <row r="1137" spans="3:11" ht="25.5" x14ac:dyDescent="0.25">
      <c r="D1137" s="5" t="s">
        <v>2054</v>
      </c>
      <c r="E1137" s="5" t="s">
        <v>2055</v>
      </c>
      <c r="F11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7" s="2" t="str">
        <f>IF(Table1[[#This Row],[Type]]="Major",Table1[[#This Row],[Major Group]],G1136)</f>
        <v>49-0000</v>
      </c>
      <c r="H1137" s="2" t="str">
        <f>IF(Table1[[#This Row],[Major Group]]&lt;&gt;"","n/a",IF(Table1[[#This Row],[Minor Group]]&lt;&gt;"",Table1[[#This Row],[Minor Group]],H1136))</f>
        <v>49-9000</v>
      </c>
      <c r="I1137" s="2" t="str">
        <f>IF(Table1[[#This Row],[Major Group]]&lt;&gt;"","n/a",IF(Table1[[#This Row],[Minor Group]]&lt;&gt;"","n/a",IF(Table1[[#This Row],[Broad Group]]&lt;&gt;"",Table1[[#This Row],[Broad Group]],I1136)))</f>
        <v>49-9040</v>
      </c>
      <c r="J11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Occupation]],J1136))))</f>
        <v>49-9045</v>
      </c>
      <c r="K1137" s="2" t="str">
        <f>Table1[[#This Row],[Group Name]]</f>
        <v>Refractory Materials Repairers, Except Brickmasons</v>
      </c>
    </row>
    <row r="1138" spans="3:11" x14ac:dyDescent="0.25">
      <c r="C1138" s="1" t="s">
        <v>2056</v>
      </c>
      <c r="E1138" s="1" t="s">
        <v>2057</v>
      </c>
      <c r="F11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38" s="2" t="str">
        <f>IF(Table1[[#This Row],[Type]]="Major",Table1[[#This Row],[Major Group]],G1137)</f>
        <v>49-0000</v>
      </c>
      <c r="H1138" s="2" t="str">
        <f>IF(Table1[[#This Row],[Major Group]]&lt;&gt;"","n/a",IF(Table1[[#This Row],[Minor Group]]&lt;&gt;"",Table1[[#This Row],[Minor Group]],H1137))</f>
        <v>49-9000</v>
      </c>
      <c r="I1138" s="2" t="str">
        <f>IF(Table1[[#This Row],[Major Group]]&lt;&gt;"","n/a",IF(Table1[[#This Row],[Minor Group]]&lt;&gt;"","n/a",IF(Table1[[#This Row],[Broad Group]]&lt;&gt;"",Table1[[#This Row],[Broad Group]],I1137)))</f>
        <v>49-9050</v>
      </c>
      <c r="J11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Occupation]],J1137))))</f>
        <v>n/a</v>
      </c>
      <c r="K1138" s="2" t="str">
        <f>Table1[[#This Row],[Group Name]]</f>
        <v>Line Installers and Repairers</v>
      </c>
    </row>
    <row r="1139" spans="3:11" ht="25.5" x14ac:dyDescent="0.25">
      <c r="D1139" s="5" t="s">
        <v>2058</v>
      </c>
      <c r="E1139" s="5" t="s">
        <v>2059</v>
      </c>
      <c r="F11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39" s="2" t="str">
        <f>IF(Table1[[#This Row],[Type]]="Major",Table1[[#This Row],[Major Group]],G1138)</f>
        <v>49-0000</v>
      </c>
      <c r="H1139" s="2" t="str">
        <f>IF(Table1[[#This Row],[Major Group]]&lt;&gt;"","n/a",IF(Table1[[#This Row],[Minor Group]]&lt;&gt;"",Table1[[#This Row],[Minor Group]],H1138))</f>
        <v>49-9000</v>
      </c>
      <c r="I1139" s="2" t="str">
        <f>IF(Table1[[#This Row],[Major Group]]&lt;&gt;"","n/a",IF(Table1[[#This Row],[Minor Group]]&lt;&gt;"","n/a",IF(Table1[[#This Row],[Broad Group]]&lt;&gt;"",Table1[[#This Row],[Broad Group]],I1138)))</f>
        <v>49-9050</v>
      </c>
      <c r="J11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Occupation]],J1138))))</f>
        <v>49-9051</v>
      </c>
      <c r="K1139" s="2" t="str">
        <f>Table1[[#This Row],[Group Name]]</f>
        <v>Electrical Power-Line Installers and Repairers</v>
      </c>
    </row>
    <row r="1140" spans="3:11" ht="25.5" x14ac:dyDescent="0.25">
      <c r="D1140" s="5" t="s">
        <v>2060</v>
      </c>
      <c r="E1140" s="5" t="s">
        <v>2061</v>
      </c>
      <c r="F11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40" s="2" t="str">
        <f>IF(Table1[[#This Row],[Type]]="Major",Table1[[#This Row],[Major Group]],G1139)</f>
        <v>49-0000</v>
      </c>
      <c r="H1140" s="2" t="str">
        <f>IF(Table1[[#This Row],[Major Group]]&lt;&gt;"","n/a",IF(Table1[[#This Row],[Minor Group]]&lt;&gt;"",Table1[[#This Row],[Minor Group]],H1139))</f>
        <v>49-9000</v>
      </c>
      <c r="I1140" s="2" t="str">
        <f>IF(Table1[[#This Row],[Major Group]]&lt;&gt;"","n/a",IF(Table1[[#This Row],[Minor Group]]&lt;&gt;"","n/a",IF(Table1[[#This Row],[Broad Group]]&lt;&gt;"",Table1[[#This Row],[Broad Group]],I1139)))</f>
        <v>49-9050</v>
      </c>
      <c r="J11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Occupation]],J1139))))</f>
        <v>49-9052</v>
      </c>
      <c r="K1140" s="2" t="str">
        <f>Table1[[#This Row],[Group Name]]</f>
        <v>Telecommunications Line Installers and Repairers</v>
      </c>
    </row>
    <row r="1141" spans="3:11" ht="30" x14ac:dyDescent="0.25">
      <c r="C1141" s="1" t="s">
        <v>2062</v>
      </c>
      <c r="E1141" s="1" t="s">
        <v>2063</v>
      </c>
      <c r="F11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41" s="2" t="str">
        <f>IF(Table1[[#This Row],[Type]]="Major",Table1[[#This Row],[Major Group]],G1140)</f>
        <v>49-0000</v>
      </c>
      <c r="H1141" s="2" t="str">
        <f>IF(Table1[[#This Row],[Major Group]]&lt;&gt;"","n/a",IF(Table1[[#This Row],[Minor Group]]&lt;&gt;"",Table1[[#This Row],[Minor Group]],H1140))</f>
        <v>49-9000</v>
      </c>
      <c r="I1141" s="2" t="str">
        <f>IF(Table1[[#This Row],[Major Group]]&lt;&gt;"","n/a",IF(Table1[[#This Row],[Minor Group]]&lt;&gt;"","n/a",IF(Table1[[#This Row],[Broad Group]]&lt;&gt;"",Table1[[#This Row],[Broad Group]],I1140)))</f>
        <v>49-9060</v>
      </c>
      <c r="J11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Occupation]],J1140))))</f>
        <v>n/a</v>
      </c>
      <c r="K1141" s="2" t="str">
        <f>Table1[[#This Row],[Group Name]]</f>
        <v>Precision Instrument and Equipment Repairers</v>
      </c>
    </row>
    <row r="1142" spans="3:11" ht="25.5" x14ac:dyDescent="0.25">
      <c r="D1142" s="5" t="s">
        <v>2064</v>
      </c>
      <c r="E1142" s="5" t="s">
        <v>2065</v>
      </c>
      <c r="F11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42" s="2" t="str">
        <f>IF(Table1[[#This Row],[Type]]="Major",Table1[[#This Row],[Major Group]],G1141)</f>
        <v>49-0000</v>
      </c>
      <c r="H1142" s="2" t="str">
        <f>IF(Table1[[#This Row],[Major Group]]&lt;&gt;"","n/a",IF(Table1[[#This Row],[Minor Group]]&lt;&gt;"",Table1[[#This Row],[Minor Group]],H1141))</f>
        <v>49-9000</v>
      </c>
      <c r="I1142" s="2" t="str">
        <f>IF(Table1[[#This Row],[Major Group]]&lt;&gt;"","n/a",IF(Table1[[#This Row],[Minor Group]]&lt;&gt;"","n/a",IF(Table1[[#This Row],[Broad Group]]&lt;&gt;"",Table1[[#This Row],[Broad Group]],I1141)))</f>
        <v>49-9060</v>
      </c>
      <c r="J11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Occupation]],J1141))))</f>
        <v>49-9061</v>
      </c>
      <c r="K1142" s="2" t="str">
        <f>Table1[[#This Row],[Group Name]]</f>
        <v>Camera and Photographic Equipment Repairers</v>
      </c>
    </row>
    <row r="1143" spans="3:11" x14ac:dyDescent="0.25">
      <c r="D1143" s="5" t="s">
        <v>2066</v>
      </c>
      <c r="E1143" s="5" t="s">
        <v>2067</v>
      </c>
      <c r="F11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43" s="2" t="str">
        <f>IF(Table1[[#This Row],[Type]]="Major",Table1[[#This Row],[Major Group]],G1142)</f>
        <v>49-0000</v>
      </c>
      <c r="H1143" s="2" t="str">
        <f>IF(Table1[[#This Row],[Major Group]]&lt;&gt;"","n/a",IF(Table1[[#This Row],[Minor Group]]&lt;&gt;"",Table1[[#This Row],[Minor Group]],H1142))</f>
        <v>49-9000</v>
      </c>
      <c r="I1143" s="2" t="str">
        <f>IF(Table1[[#This Row],[Major Group]]&lt;&gt;"","n/a",IF(Table1[[#This Row],[Minor Group]]&lt;&gt;"","n/a",IF(Table1[[#This Row],[Broad Group]]&lt;&gt;"",Table1[[#This Row],[Broad Group]],I1142)))</f>
        <v>49-9060</v>
      </c>
      <c r="J11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Occupation]],J1142))))</f>
        <v>49-9062</v>
      </c>
      <c r="K1143" s="2" t="str">
        <f>Table1[[#This Row],[Group Name]]</f>
        <v>Medical Equipment Repairers</v>
      </c>
    </row>
    <row r="1144" spans="3:11" ht="25.5" x14ac:dyDescent="0.25">
      <c r="D1144" s="5" t="s">
        <v>2068</v>
      </c>
      <c r="E1144" s="5" t="s">
        <v>2069</v>
      </c>
      <c r="F11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44" s="2" t="str">
        <f>IF(Table1[[#This Row],[Type]]="Major",Table1[[#This Row],[Major Group]],G1143)</f>
        <v>49-0000</v>
      </c>
      <c r="H1144" s="2" t="str">
        <f>IF(Table1[[#This Row],[Major Group]]&lt;&gt;"","n/a",IF(Table1[[#This Row],[Minor Group]]&lt;&gt;"",Table1[[#This Row],[Minor Group]],H1143))</f>
        <v>49-9000</v>
      </c>
      <c r="I1144" s="2" t="str">
        <f>IF(Table1[[#This Row],[Major Group]]&lt;&gt;"","n/a",IF(Table1[[#This Row],[Minor Group]]&lt;&gt;"","n/a",IF(Table1[[#This Row],[Broad Group]]&lt;&gt;"",Table1[[#This Row],[Broad Group]],I1143)))</f>
        <v>49-9060</v>
      </c>
      <c r="J11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Occupation]],J1143))))</f>
        <v>49-9063</v>
      </c>
      <c r="K1144" s="2" t="str">
        <f>Table1[[#This Row],[Group Name]]</f>
        <v>Musical Instrument Repairers and Tuners</v>
      </c>
    </row>
    <row r="1145" spans="3:11" x14ac:dyDescent="0.25">
      <c r="D1145" s="5" t="s">
        <v>2070</v>
      </c>
      <c r="E1145" s="5" t="s">
        <v>2071</v>
      </c>
      <c r="F11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45" s="2" t="str">
        <f>IF(Table1[[#This Row],[Type]]="Major",Table1[[#This Row],[Major Group]],G1144)</f>
        <v>49-0000</v>
      </c>
      <c r="H1145" s="2" t="str">
        <f>IF(Table1[[#This Row],[Major Group]]&lt;&gt;"","n/a",IF(Table1[[#This Row],[Minor Group]]&lt;&gt;"",Table1[[#This Row],[Minor Group]],H1144))</f>
        <v>49-9000</v>
      </c>
      <c r="I1145" s="2" t="str">
        <f>IF(Table1[[#This Row],[Major Group]]&lt;&gt;"","n/a",IF(Table1[[#This Row],[Minor Group]]&lt;&gt;"","n/a",IF(Table1[[#This Row],[Broad Group]]&lt;&gt;"",Table1[[#This Row],[Broad Group]],I1144)))</f>
        <v>49-9060</v>
      </c>
      <c r="J11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Occupation]],J1144))))</f>
        <v>49-9064</v>
      </c>
      <c r="K1145" s="2" t="str">
        <f>Table1[[#This Row],[Group Name]]</f>
        <v>Watch and Clock Repairers</v>
      </c>
    </row>
    <row r="1146" spans="3:11" ht="25.5" x14ac:dyDescent="0.25">
      <c r="D1146" s="5" t="s">
        <v>2072</v>
      </c>
      <c r="E1146" s="5" t="s">
        <v>2073</v>
      </c>
      <c r="F11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46" s="2" t="str">
        <f>IF(Table1[[#This Row],[Type]]="Major",Table1[[#This Row],[Major Group]],G1145)</f>
        <v>49-0000</v>
      </c>
      <c r="H1146" s="2" t="str">
        <f>IF(Table1[[#This Row],[Major Group]]&lt;&gt;"","n/a",IF(Table1[[#This Row],[Minor Group]]&lt;&gt;"",Table1[[#This Row],[Minor Group]],H1145))</f>
        <v>49-9000</v>
      </c>
      <c r="I1146" s="2" t="str">
        <f>IF(Table1[[#This Row],[Major Group]]&lt;&gt;"","n/a",IF(Table1[[#This Row],[Minor Group]]&lt;&gt;"","n/a",IF(Table1[[#This Row],[Broad Group]]&lt;&gt;"",Table1[[#This Row],[Broad Group]],I1145)))</f>
        <v>49-9060</v>
      </c>
      <c r="J11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Occupation]],J1145))))</f>
        <v>49-9069</v>
      </c>
      <c r="K1146" s="2" t="str">
        <f>Table1[[#This Row],[Group Name]]</f>
        <v>Precision Instrument and Equipment Repairers, All Other</v>
      </c>
    </row>
    <row r="1147" spans="3:11" ht="30" x14ac:dyDescent="0.25">
      <c r="C1147" s="1" t="s">
        <v>2074</v>
      </c>
      <c r="E1147" s="1" t="s">
        <v>2075</v>
      </c>
      <c r="F11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47" s="2" t="str">
        <f>IF(Table1[[#This Row],[Type]]="Major",Table1[[#This Row],[Major Group]],G1146)</f>
        <v>49-0000</v>
      </c>
      <c r="H1147" s="2" t="str">
        <f>IF(Table1[[#This Row],[Major Group]]&lt;&gt;"","n/a",IF(Table1[[#This Row],[Minor Group]]&lt;&gt;"",Table1[[#This Row],[Minor Group]],H1146))</f>
        <v>49-9000</v>
      </c>
      <c r="I1147" s="2" t="str">
        <f>IF(Table1[[#This Row],[Major Group]]&lt;&gt;"","n/a",IF(Table1[[#This Row],[Minor Group]]&lt;&gt;"","n/a",IF(Table1[[#This Row],[Broad Group]]&lt;&gt;"",Table1[[#This Row],[Broad Group]],I1146)))</f>
        <v>49-9070</v>
      </c>
      <c r="J11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Occupation]],J1146))))</f>
        <v>n/a</v>
      </c>
      <c r="K1147" s="2" t="str">
        <f>Table1[[#This Row],[Group Name]]</f>
        <v>Maintenance and Repair Workers, General</v>
      </c>
    </row>
    <row r="1148" spans="3:11" ht="25.5" x14ac:dyDescent="0.25">
      <c r="D1148" s="5" t="s">
        <v>2076</v>
      </c>
      <c r="E1148" s="5" t="s">
        <v>2075</v>
      </c>
      <c r="F11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48" s="2" t="str">
        <f>IF(Table1[[#This Row],[Type]]="Major",Table1[[#This Row],[Major Group]],G1147)</f>
        <v>49-0000</v>
      </c>
      <c r="H1148" s="2" t="str">
        <f>IF(Table1[[#This Row],[Major Group]]&lt;&gt;"","n/a",IF(Table1[[#This Row],[Minor Group]]&lt;&gt;"",Table1[[#This Row],[Minor Group]],H1147))</f>
        <v>49-9000</v>
      </c>
      <c r="I1148" s="2" t="str">
        <f>IF(Table1[[#This Row],[Major Group]]&lt;&gt;"","n/a",IF(Table1[[#This Row],[Minor Group]]&lt;&gt;"","n/a",IF(Table1[[#This Row],[Broad Group]]&lt;&gt;"",Table1[[#This Row],[Broad Group]],I1147)))</f>
        <v>49-9070</v>
      </c>
      <c r="J11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Occupation]],J1147))))</f>
        <v>49-9071</v>
      </c>
      <c r="K1148" s="2" t="str">
        <f>Table1[[#This Row],[Group Name]]</f>
        <v>Maintenance and Repair Workers, General</v>
      </c>
    </row>
    <row r="1149" spans="3:11" x14ac:dyDescent="0.25">
      <c r="C1149" s="1" t="s">
        <v>2077</v>
      </c>
      <c r="E1149" s="1" t="s">
        <v>2078</v>
      </c>
      <c r="F11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49" s="2" t="str">
        <f>IF(Table1[[#This Row],[Type]]="Major",Table1[[#This Row],[Major Group]],G1148)</f>
        <v>49-0000</v>
      </c>
      <c r="H1149" s="2" t="str">
        <f>IF(Table1[[#This Row],[Major Group]]&lt;&gt;"","n/a",IF(Table1[[#This Row],[Minor Group]]&lt;&gt;"",Table1[[#This Row],[Minor Group]],H1148))</f>
        <v>49-9000</v>
      </c>
      <c r="I1149" s="2" t="str">
        <f>IF(Table1[[#This Row],[Major Group]]&lt;&gt;"","n/a",IF(Table1[[#This Row],[Minor Group]]&lt;&gt;"","n/a",IF(Table1[[#This Row],[Broad Group]]&lt;&gt;"",Table1[[#This Row],[Broad Group]],I1148)))</f>
        <v>49-9080</v>
      </c>
      <c r="J11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Occupation]],J1148))))</f>
        <v>n/a</v>
      </c>
      <c r="K1149" s="2" t="str">
        <f>Table1[[#This Row],[Group Name]]</f>
        <v>Wind Turbine Service Technicians</v>
      </c>
    </row>
    <row r="1150" spans="3:11" x14ac:dyDescent="0.25">
      <c r="D1150" s="5" t="s">
        <v>2079</v>
      </c>
      <c r="E1150" s="5" t="s">
        <v>2078</v>
      </c>
      <c r="F11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0" s="2" t="str">
        <f>IF(Table1[[#This Row],[Type]]="Major",Table1[[#This Row],[Major Group]],G1149)</f>
        <v>49-0000</v>
      </c>
      <c r="H1150" s="2" t="str">
        <f>IF(Table1[[#This Row],[Major Group]]&lt;&gt;"","n/a",IF(Table1[[#This Row],[Minor Group]]&lt;&gt;"",Table1[[#This Row],[Minor Group]],H1149))</f>
        <v>49-9000</v>
      </c>
      <c r="I1150" s="2" t="str">
        <f>IF(Table1[[#This Row],[Major Group]]&lt;&gt;"","n/a",IF(Table1[[#This Row],[Minor Group]]&lt;&gt;"","n/a",IF(Table1[[#This Row],[Broad Group]]&lt;&gt;"",Table1[[#This Row],[Broad Group]],I1149)))</f>
        <v>49-9080</v>
      </c>
      <c r="J11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Occupation]],J1149))))</f>
        <v>49-9081</v>
      </c>
      <c r="K1150" s="2" t="str">
        <f>Table1[[#This Row],[Group Name]]</f>
        <v>Wind Turbine Service Technicians</v>
      </c>
    </row>
    <row r="1151" spans="3:11" ht="30" x14ac:dyDescent="0.25">
      <c r="C1151" s="1" t="s">
        <v>2080</v>
      </c>
      <c r="E1151" s="1" t="s">
        <v>2081</v>
      </c>
      <c r="F11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51" s="2" t="str">
        <f>IF(Table1[[#This Row],[Type]]="Major",Table1[[#This Row],[Major Group]],G1150)</f>
        <v>49-0000</v>
      </c>
      <c r="H1151" s="2" t="str">
        <f>IF(Table1[[#This Row],[Major Group]]&lt;&gt;"","n/a",IF(Table1[[#This Row],[Minor Group]]&lt;&gt;"",Table1[[#This Row],[Minor Group]],H1150))</f>
        <v>49-9000</v>
      </c>
      <c r="I1151" s="2" t="str">
        <f>IF(Table1[[#This Row],[Major Group]]&lt;&gt;"","n/a",IF(Table1[[#This Row],[Minor Group]]&lt;&gt;"","n/a",IF(Table1[[#This Row],[Broad Group]]&lt;&gt;"",Table1[[#This Row],[Broad Group]],I1150)))</f>
        <v>49-9090</v>
      </c>
      <c r="J11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Occupation]],J1150))))</f>
        <v>n/a</v>
      </c>
      <c r="K1151" s="2" t="str">
        <f>Table1[[#This Row],[Group Name]]</f>
        <v>Miscellaneous Installation, Maintenance, and Repair Workers</v>
      </c>
    </row>
    <row r="1152" spans="3:11" ht="25.5" x14ac:dyDescent="0.25">
      <c r="D1152" s="5" t="s">
        <v>2082</v>
      </c>
      <c r="E1152" s="5" t="s">
        <v>2083</v>
      </c>
      <c r="F11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2" s="2" t="str">
        <f>IF(Table1[[#This Row],[Type]]="Major",Table1[[#This Row],[Major Group]],G1151)</f>
        <v>49-0000</v>
      </c>
      <c r="H1152" s="2" t="str">
        <f>IF(Table1[[#This Row],[Major Group]]&lt;&gt;"","n/a",IF(Table1[[#This Row],[Minor Group]]&lt;&gt;"",Table1[[#This Row],[Minor Group]],H1151))</f>
        <v>49-9000</v>
      </c>
      <c r="I1152" s="2" t="str">
        <f>IF(Table1[[#This Row],[Major Group]]&lt;&gt;"","n/a",IF(Table1[[#This Row],[Minor Group]]&lt;&gt;"","n/a",IF(Table1[[#This Row],[Broad Group]]&lt;&gt;"",Table1[[#This Row],[Broad Group]],I1151)))</f>
        <v>49-9090</v>
      </c>
      <c r="J11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Occupation]],J1151))))</f>
        <v>49-9091</v>
      </c>
      <c r="K1152" s="2" t="str">
        <f>Table1[[#This Row],[Group Name]]</f>
        <v>Coin, Vending, and Amusement Machine Servicers and Repairers</v>
      </c>
    </row>
    <row r="1153" spans="1:11" x14ac:dyDescent="0.25">
      <c r="D1153" s="5" t="s">
        <v>2084</v>
      </c>
      <c r="E1153" s="5" t="s">
        <v>2085</v>
      </c>
      <c r="F11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3" s="2" t="str">
        <f>IF(Table1[[#This Row],[Type]]="Major",Table1[[#This Row],[Major Group]],G1152)</f>
        <v>49-0000</v>
      </c>
      <c r="H1153" s="2" t="str">
        <f>IF(Table1[[#This Row],[Major Group]]&lt;&gt;"","n/a",IF(Table1[[#This Row],[Minor Group]]&lt;&gt;"",Table1[[#This Row],[Minor Group]],H1152))</f>
        <v>49-9000</v>
      </c>
      <c r="I1153" s="2" t="str">
        <f>IF(Table1[[#This Row],[Major Group]]&lt;&gt;"","n/a",IF(Table1[[#This Row],[Minor Group]]&lt;&gt;"","n/a",IF(Table1[[#This Row],[Broad Group]]&lt;&gt;"",Table1[[#This Row],[Broad Group]],I1152)))</f>
        <v>49-9090</v>
      </c>
      <c r="J11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Occupation]],J1152))))</f>
        <v>49-9092</v>
      </c>
      <c r="K1153" s="2" t="str">
        <f>Table1[[#This Row],[Group Name]]</f>
        <v>Commercial Divers</v>
      </c>
    </row>
    <row r="1154" spans="1:11" x14ac:dyDescent="0.25">
      <c r="D1154" s="5" t="s">
        <v>2086</v>
      </c>
      <c r="E1154" s="5" t="s">
        <v>2087</v>
      </c>
      <c r="F11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4" s="2" t="str">
        <f>IF(Table1[[#This Row],[Type]]="Major",Table1[[#This Row],[Major Group]],G1153)</f>
        <v>49-0000</v>
      </c>
      <c r="H1154" s="2" t="str">
        <f>IF(Table1[[#This Row],[Major Group]]&lt;&gt;"","n/a",IF(Table1[[#This Row],[Minor Group]]&lt;&gt;"",Table1[[#This Row],[Minor Group]],H1153))</f>
        <v>49-9000</v>
      </c>
      <c r="I1154" s="2" t="str">
        <f>IF(Table1[[#This Row],[Major Group]]&lt;&gt;"","n/a",IF(Table1[[#This Row],[Minor Group]]&lt;&gt;"","n/a",IF(Table1[[#This Row],[Broad Group]]&lt;&gt;"",Table1[[#This Row],[Broad Group]],I1153)))</f>
        <v>49-9090</v>
      </c>
      <c r="J11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Occupation]],J1153))))</f>
        <v>49-9094</v>
      </c>
      <c r="K1154" s="2" t="str">
        <f>Table1[[#This Row],[Group Name]]</f>
        <v>Locksmiths and Safe Repairers</v>
      </c>
    </row>
    <row r="1155" spans="1:11" ht="25.5" x14ac:dyDescent="0.25">
      <c r="D1155" s="5" t="s">
        <v>2088</v>
      </c>
      <c r="E1155" s="5" t="s">
        <v>2089</v>
      </c>
      <c r="F11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5" s="2" t="str">
        <f>IF(Table1[[#This Row],[Type]]="Major",Table1[[#This Row],[Major Group]],G1154)</f>
        <v>49-0000</v>
      </c>
      <c r="H1155" s="2" t="str">
        <f>IF(Table1[[#This Row],[Major Group]]&lt;&gt;"","n/a",IF(Table1[[#This Row],[Minor Group]]&lt;&gt;"",Table1[[#This Row],[Minor Group]],H1154))</f>
        <v>49-9000</v>
      </c>
      <c r="I1155" s="2" t="str">
        <f>IF(Table1[[#This Row],[Major Group]]&lt;&gt;"","n/a",IF(Table1[[#This Row],[Minor Group]]&lt;&gt;"","n/a",IF(Table1[[#This Row],[Broad Group]]&lt;&gt;"",Table1[[#This Row],[Broad Group]],I1154)))</f>
        <v>49-9090</v>
      </c>
      <c r="J11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Occupation]],J1154))))</f>
        <v>49-9095</v>
      </c>
      <c r="K1155" s="2" t="str">
        <f>Table1[[#This Row],[Group Name]]</f>
        <v>Manufactured Building and Mobile Home Installers</v>
      </c>
    </row>
    <row r="1156" spans="1:11" x14ac:dyDescent="0.25">
      <c r="D1156" s="5" t="s">
        <v>2090</v>
      </c>
      <c r="E1156" s="5" t="s">
        <v>2091</v>
      </c>
      <c r="F11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6" s="2" t="str">
        <f>IF(Table1[[#This Row],[Type]]="Major",Table1[[#This Row],[Major Group]],G1155)</f>
        <v>49-0000</v>
      </c>
      <c r="H1156" s="2" t="str">
        <f>IF(Table1[[#This Row],[Major Group]]&lt;&gt;"","n/a",IF(Table1[[#This Row],[Minor Group]]&lt;&gt;"",Table1[[#This Row],[Minor Group]],H1155))</f>
        <v>49-9000</v>
      </c>
      <c r="I1156" s="2" t="str">
        <f>IF(Table1[[#This Row],[Major Group]]&lt;&gt;"","n/a",IF(Table1[[#This Row],[Minor Group]]&lt;&gt;"","n/a",IF(Table1[[#This Row],[Broad Group]]&lt;&gt;"",Table1[[#This Row],[Broad Group]],I1155)))</f>
        <v>49-9090</v>
      </c>
      <c r="J11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Occupation]],J1155))))</f>
        <v>49-9096</v>
      </c>
      <c r="K1156" s="2" t="str">
        <f>Table1[[#This Row],[Group Name]]</f>
        <v>Riggers</v>
      </c>
    </row>
    <row r="1157" spans="1:11" x14ac:dyDescent="0.25">
      <c r="D1157" s="5" t="s">
        <v>2092</v>
      </c>
      <c r="E1157" s="5" t="s">
        <v>2093</v>
      </c>
      <c r="F11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7" s="2" t="str">
        <f>IF(Table1[[#This Row],[Type]]="Major",Table1[[#This Row],[Major Group]],G1156)</f>
        <v>49-0000</v>
      </c>
      <c r="H1157" s="2" t="str">
        <f>IF(Table1[[#This Row],[Major Group]]&lt;&gt;"","n/a",IF(Table1[[#This Row],[Minor Group]]&lt;&gt;"",Table1[[#This Row],[Minor Group]],H1156))</f>
        <v>49-9000</v>
      </c>
      <c r="I1157" s="2" t="str">
        <f>IF(Table1[[#This Row],[Major Group]]&lt;&gt;"","n/a",IF(Table1[[#This Row],[Minor Group]]&lt;&gt;"","n/a",IF(Table1[[#This Row],[Broad Group]]&lt;&gt;"",Table1[[#This Row],[Broad Group]],I1156)))</f>
        <v>49-9090</v>
      </c>
      <c r="J11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Occupation]],J1156))))</f>
        <v>49-9097</v>
      </c>
      <c r="K1157" s="2" t="str">
        <f>Table1[[#This Row],[Group Name]]</f>
        <v>Signal and Track Switch Repairers</v>
      </c>
    </row>
    <row r="1158" spans="1:11" ht="25.5" x14ac:dyDescent="0.25">
      <c r="D1158" s="5" t="s">
        <v>2094</v>
      </c>
      <c r="E1158" s="5" t="s">
        <v>2095</v>
      </c>
      <c r="F11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8" s="2" t="str">
        <f>IF(Table1[[#This Row],[Type]]="Major",Table1[[#This Row],[Major Group]],G1157)</f>
        <v>49-0000</v>
      </c>
      <c r="H1158" s="2" t="str">
        <f>IF(Table1[[#This Row],[Major Group]]&lt;&gt;"","n/a",IF(Table1[[#This Row],[Minor Group]]&lt;&gt;"",Table1[[#This Row],[Minor Group]],H1157))</f>
        <v>49-9000</v>
      </c>
      <c r="I1158" s="2" t="str">
        <f>IF(Table1[[#This Row],[Major Group]]&lt;&gt;"","n/a",IF(Table1[[#This Row],[Minor Group]]&lt;&gt;"","n/a",IF(Table1[[#This Row],[Broad Group]]&lt;&gt;"",Table1[[#This Row],[Broad Group]],I1157)))</f>
        <v>49-9090</v>
      </c>
      <c r="J11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Occupation]],J1157))))</f>
        <v>49-9098</v>
      </c>
      <c r="K1158" s="2" t="str">
        <f>Table1[[#This Row],[Group Name]]</f>
        <v>Helpers--Installation, Maintenance, and Repair Workers</v>
      </c>
    </row>
    <row r="1159" spans="1:11" ht="25.5" x14ac:dyDescent="0.25">
      <c r="D1159" s="5" t="s">
        <v>2096</v>
      </c>
      <c r="E1159" s="5" t="s">
        <v>2097</v>
      </c>
      <c r="F11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59" s="2" t="str">
        <f>IF(Table1[[#This Row],[Type]]="Major",Table1[[#This Row],[Major Group]],G1158)</f>
        <v>49-0000</v>
      </c>
      <c r="H1159" s="2" t="str">
        <f>IF(Table1[[#This Row],[Major Group]]&lt;&gt;"","n/a",IF(Table1[[#This Row],[Minor Group]]&lt;&gt;"",Table1[[#This Row],[Minor Group]],H1158))</f>
        <v>49-9000</v>
      </c>
      <c r="I1159" s="2" t="str">
        <f>IF(Table1[[#This Row],[Major Group]]&lt;&gt;"","n/a",IF(Table1[[#This Row],[Minor Group]]&lt;&gt;"","n/a",IF(Table1[[#This Row],[Broad Group]]&lt;&gt;"",Table1[[#This Row],[Broad Group]],I1158)))</f>
        <v>49-9090</v>
      </c>
      <c r="J11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Occupation]],J1158))))</f>
        <v>49-9099</v>
      </c>
      <c r="K1159" s="2" t="str">
        <f>Table1[[#This Row],[Group Name]]</f>
        <v>Installation, Maintenance, and Repair Workers, All Other</v>
      </c>
    </row>
    <row r="1160" spans="1:11" ht="15.75" x14ac:dyDescent="0.25">
      <c r="A1160" s="4" t="s">
        <v>2098</v>
      </c>
      <c r="E1160" s="4" t="s">
        <v>2099</v>
      </c>
      <c r="F11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1160" s="2" t="str">
        <f>IF(Table1[[#This Row],[Type]]="Major",Table1[[#This Row],[Major Group]],G1159)</f>
        <v>51-0000</v>
      </c>
      <c r="H1160" s="2" t="str">
        <f>IF(Table1[[#This Row],[Major Group]]&lt;&gt;"","n/a",IF(Table1[[#This Row],[Minor Group]]&lt;&gt;"",Table1[[#This Row],[Minor Group]],H1159))</f>
        <v>n/a</v>
      </c>
      <c r="I1160" s="2" t="str">
        <f>IF(Table1[[#This Row],[Major Group]]&lt;&gt;"","n/a",IF(Table1[[#This Row],[Minor Group]]&lt;&gt;"","n/a",IF(Table1[[#This Row],[Broad Group]]&lt;&gt;"",Table1[[#This Row],[Broad Group]],I1159)))</f>
        <v>n/a</v>
      </c>
      <c r="J11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Occupation]],J1159))))</f>
        <v>n/a</v>
      </c>
      <c r="K1160" s="2" t="str">
        <f>Table1[[#This Row],[Group Name]]</f>
        <v>Production Occupations</v>
      </c>
    </row>
    <row r="1161" spans="1:11" x14ac:dyDescent="0.25">
      <c r="B1161" s="3" t="s">
        <v>2100</v>
      </c>
      <c r="E1161" s="3" t="s">
        <v>2101</v>
      </c>
      <c r="F11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161" s="2" t="str">
        <f>IF(Table1[[#This Row],[Type]]="Major",Table1[[#This Row],[Major Group]],G1160)</f>
        <v>51-0000</v>
      </c>
      <c r="H1161" s="2" t="str">
        <f>IF(Table1[[#This Row],[Major Group]]&lt;&gt;"","n/a",IF(Table1[[#This Row],[Minor Group]]&lt;&gt;"",Table1[[#This Row],[Minor Group]],H1160))</f>
        <v>51-1000</v>
      </c>
      <c r="I1161" s="2" t="str">
        <f>IF(Table1[[#This Row],[Major Group]]&lt;&gt;"","n/a",IF(Table1[[#This Row],[Minor Group]]&lt;&gt;"","n/a",IF(Table1[[#This Row],[Broad Group]]&lt;&gt;"",Table1[[#This Row],[Broad Group]],I1160)))</f>
        <v>n/a</v>
      </c>
      <c r="J11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Occupation]],J1160))))</f>
        <v>n/a</v>
      </c>
      <c r="K1161" s="2" t="str">
        <f>Table1[[#This Row],[Group Name]]</f>
        <v>Supervisors of Production Workers</v>
      </c>
    </row>
    <row r="1162" spans="1:11" ht="45" x14ac:dyDescent="0.25">
      <c r="C1162" s="1" t="s">
        <v>2102</v>
      </c>
      <c r="E1162" s="1" t="s">
        <v>2103</v>
      </c>
      <c r="F11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62" s="2" t="str">
        <f>IF(Table1[[#This Row],[Type]]="Major",Table1[[#This Row],[Major Group]],G1161)</f>
        <v>51-0000</v>
      </c>
      <c r="H1162" s="2" t="str">
        <f>IF(Table1[[#This Row],[Major Group]]&lt;&gt;"","n/a",IF(Table1[[#This Row],[Minor Group]]&lt;&gt;"",Table1[[#This Row],[Minor Group]],H1161))</f>
        <v>51-1000</v>
      </c>
      <c r="I1162" s="2" t="str">
        <f>IF(Table1[[#This Row],[Major Group]]&lt;&gt;"","n/a",IF(Table1[[#This Row],[Minor Group]]&lt;&gt;"","n/a",IF(Table1[[#This Row],[Broad Group]]&lt;&gt;"",Table1[[#This Row],[Broad Group]],I1161)))</f>
        <v>51-1010</v>
      </c>
      <c r="J11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Occupation]],J1161))))</f>
        <v>n/a</v>
      </c>
      <c r="K1162" s="2" t="str">
        <f>Table1[[#This Row],[Group Name]]</f>
        <v>First-Line Supervisors of Production and Operating Workers</v>
      </c>
    </row>
    <row r="1163" spans="1:11" ht="25.5" x14ac:dyDescent="0.25">
      <c r="D1163" s="5" t="s">
        <v>2104</v>
      </c>
      <c r="E1163" s="5" t="s">
        <v>2103</v>
      </c>
      <c r="F11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63" s="2" t="str">
        <f>IF(Table1[[#This Row],[Type]]="Major",Table1[[#This Row],[Major Group]],G1162)</f>
        <v>51-0000</v>
      </c>
      <c r="H1163" s="2" t="str">
        <f>IF(Table1[[#This Row],[Major Group]]&lt;&gt;"","n/a",IF(Table1[[#This Row],[Minor Group]]&lt;&gt;"",Table1[[#This Row],[Minor Group]],H1162))</f>
        <v>51-1000</v>
      </c>
      <c r="I1163" s="2" t="str">
        <f>IF(Table1[[#This Row],[Major Group]]&lt;&gt;"","n/a",IF(Table1[[#This Row],[Minor Group]]&lt;&gt;"","n/a",IF(Table1[[#This Row],[Broad Group]]&lt;&gt;"",Table1[[#This Row],[Broad Group]],I1162)))</f>
        <v>51-1010</v>
      </c>
      <c r="J11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Occupation]],J1162))))</f>
        <v>51-1011</v>
      </c>
      <c r="K1163" s="2" t="str">
        <f>Table1[[#This Row],[Group Name]]</f>
        <v>First-Line Supervisors of Production and Operating Workers</v>
      </c>
    </row>
    <row r="1164" spans="1:11" x14ac:dyDescent="0.25">
      <c r="B1164" s="3" t="s">
        <v>2105</v>
      </c>
      <c r="E1164" s="3" t="s">
        <v>2106</v>
      </c>
      <c r="F11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164" s="2" t="str">
        <f>IF(Table1[[#This Row],[Type]]="Major",Table1[[#This Row],[Major Group]],G1163)</f>
        <v>51-0000</v>
      </c>
      <c r="H1164" s="2" t="str">
        <f>IF(Table1[[#This Row],[Major Group]]&lt;&gt;"","n/a",IF(Table1[[#This Row],[Minor Group]]&lt;&gt;"",Table1[[#This Row],[Minor Group]],H1163))</f>
        <v>51-2000</v>
      </c>
      <c r="I1164" s="2" t="str">
        <f>IF(Table1[[#This Row],[Major Group]]&lt;&gt;"","n/a",IF(Table1[[#This Row],[Minor Group]]&lt;&gt;"","n/a",IF(Table1[[#This Row],[Broad Group]]&lt;&gt;"",Table1[[#This Row],[Broad Group]],I1163)))</f>
        <v>n/a</v>
      </c>
      <c r="J11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Occupation]],J1163))))</f>
        <v>n/a</v>
      </c>
      <c r="K1164" s="2" t="str">
        <f>Table1[[#This Row],[Group Name]]</f>
        <v>Assemblers and Fabricators</v>
      </c>
    </row>
    <row r="1165" spans="1:11" ht="30" x14ac:dyDescent="0.25">
      <c r="C1165" s="1" t="s">
        <v>2107</v>
      </c>
      <c r="E1165" s="1" t="s">
        <v>2108</v>
      </c>
      <c r="F11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65" s="2" t="str">
        <f>IF(Table1[[#This Row],[Type]]="Major",Table1[[#This Row],[Major Group]],G1164)</f>
        <v>51-0000</v>
      </c>
      <c r="H1165" s="2" t="str">
        <f>IF(Table1[[#This Row],[Major Group]]&lt;&gt;"","n/a",IF(Table1[[#This Row],[Minor Group]]&lt;&gt;"",Table1[[#This Row],[Minor Group]],H1164))</f>
        <v>51-2000</v>
      </c>
      <c r="I1165" s="2" t="str">
        <f>IF(Table1[[#This Row],[Major Group]]&lt;&gt;"","n/a",IF(Table1[[#This Row],[Minor Group]]&lt;&gt;"","n/a",IF(Table1[[#This Row],[Broad Group]]&lt;&gt;"",Table1[[#This Row],[Broad Group]],I1164)))</f>
        <v>51-2010</v>
      </c>
      <c r="J11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Occupation]],J1164))))</f>
        <v>n/a</v>
      </c>
      <c r="K1165" s="2" t="str">
        <f>Table1[[#This Row],[Group Name]]</f>
        <v>Aircraft Structure, Surfaces, Rigging, and Systems Assemblers</v>
      </c>
    </row>
    <row r="1166" spans="1:11" ht="25.5" x14ac:dyDescent="0.25">
      <c r="D1166" s="5" t="s">
        <v>2109</v>
      </c>
      <c r="E1166" s="5" t="s">
        <v>2108</v>
      </c>
      <c r="F11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66" s="2" t="str">
        <f>IF(Table1[[#This Row],[Type]]="Major",Table1[[#This Row],[Major Group]],G1165)</f>
        <v>51-0000</v>
      </c>
      <c r="H1166" s="2" t="str">
        <f>IF(Table1[[#This Row],[Major Group]]&lt;&gt;"","n/a",IF(Table1[[#This Row],[Minor Group]]&lt;&gt;"",Table1[[#This Row],[Minor Group]],H1165))</f>
        <v>51-2000</v>
      </c>
      <c r="I1166" s="2" t="str">
        <f>IF(Table1[[#This Row],[Major Group]]&lt;&gt;"","n/a",IF(Table1[[#This Row],[Minor Group]]&lt;&gt;"","n/a",IF(Table1[[#This Row],[Broad Group]]&lt;&gt;"",Table1[[#This Row],[Broad Group]],I1165)))</f>
        <v>51-2010</v>
      </c>
      <c r="J11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Occupation]],J1165))))</f>
        <v>51-2011</v>
      </c>
      <c r="K1166" s="2" t="str">
        <f>Table1[[#This Row],[Group Name]]</f>
        <v>Aircraft Structure, Surfaces, Rigging, and Systems Assemblers</v>
      </c>
    </row>
    <row r="1167" spans="1:11" ht="30" x14ac:dyDescent="0.25">
      <c r="C1167" s="1" t="s">
        <v>2110</v>
      </c>
      <c r="E1167" s="1" t="s">
        <v>2111</v>
      </c>
      <c r="F11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67" s="2" t="str">
        <f>IF(Table1[[#This Row],[Type]]="Major",Table1[[#This Row],[Major Group]],G1166)</f>
        <v>51-0000</v>
      </c>
      <c r="H1167" s="2" t="str">
        <f>IF(Table1[[#This Row],[Major Group]]&lt;&gt;"","n/a",IF(Table1[[#This Row],[Minor Group]]&lt;&gt;"",Table1[[#This Row],[Minor Group]],H1166))</f>
        <v>51-2000</v>
      </c>
      <c r="I1167" s="2" t="str">
        <f>IF(Table1[[#This Row],[Major Group]]&lt;&gt;"","n/a",IF(Table1[[#This Row],[Minor Group]]&lt;&gt;"","n/a",IF(Table1[[#This Row],[Broad Group]]&lt;&gt;"",Table1[[#This Row],[Broad Group]],I1166)))</f>
        <v>51-2020</v>
      </c>
      <c r="J11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Occupation]],J1166))))</f>
        <v>n/a</v>
      </c>
      <c r="K1167" s="2" t="str">
        <f>Table1[[#This Row],[Group Name]]</f>
        <v>Electrical, Electronics, and Electromechanical Assemblers</v>
      </c>
    </row>
    <row r="1168" spans="1:11" x14ac:dyDescent="0.25">
      <c r="D1168" s="5" t="s">
        <v>2112</v>
      </c>
      <c r="E1168" s="5" t="s">
        <v>2113</v>
      </c>
      <c r="F11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68" s="2" t="str">
        <f>IF(Table1[[#This Row],[Type]]="Major",Table1[[#This Row],[Major Group]],G1167)</f>
        <v>51-0000</v>
      </c>
      <c r="H1168" s="2" t="str">
        <f>IF(Table1[[#This Row],[Major Group]]&lt;&gt;"","n/a",IF(Table1[[#This Row],[Minor Group]]&lt;&gt;"",Table1[[#This Row],[Minor Group]],H1167))</f>
        <v>51-2000</v>
      </c>
      <c r="I1168" s="2" t="str">
        <f>IF(Table1[[#This Row],[Major Group]]&lt;&gt;"","n/a",IF(Table1[[#This Row],[Minor Group]]&lt;&gt;"","n/a",IF(Table1[[#This Row],[Broad Group]]&lt;&gt;"",Table1[[#This Row],[Broad Group]],I1167)))</f>
        <v>51-2020</v>
      </c>
      <c r="J11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Occupation]],J1167))))</f>
        <v>51-2021</v>
      </c>
      <c r="K1168" s="2" t="str">
        <f>Table1[[#This Row],[Group Name]]</f>
        <v>Coil Winders, Tapers, and Finishers</v>
      </c>
    </row>
    <row r="1169" spans="2:11" ht="25.5" x14ac:dyDescent="0.25">
      <c r="D1169" s="5" t="s">
        <v>2114</v>
      </c>
      <c r="E1169" s="5" t="s">
        <v>2115</v>
      </c>
      <c r="F11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69" s="2" t="str">
        <f>IF(Table1[[#This Row],[Type]]="Major",Table1[[#This Row],[Major Group]],G1168)</f>
        <v>51-0000</v>
      </c>
      <c r="H1169" s="2" t="str">
        <f>IF(Table1[[#This Row],[Major Group]]&lt;&gt;"","n/a",IF(Table1[[#This Row],[Minor Group]]&lt;&gt;"",Table1[[#This Row],[Minor Group]],H1168))</f>
        <v>51-2000</v>
      </c>
      <c r="I1169" s="2" t="str">
        <f>IF(Table1[[#This Row],[Major Group]]&lt;&gt;"","n/a",IF(Table1[[#This Row],[Minor Group]]&lt;&gt;"","n/a",IF(Table1[[#This Row],[Broad Group]]&lt;&gt;"",Table1[[#This Row],[Broad Group]],I1168)))</f>
        <v>51-2020</v>
      </c>
      <c r="J11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Occupation]],J1168))))</f>
        <v>51-2022</v>
      </c>
      <c r="K1169" s="2" t="str">
        <f>Table1[[#This Row],[Group Name]]</f>
        <v>Electrical and Electronic Equipment Assemblers</v>
      </c>
    </row>
    <row r="1170" spans="2:11" ht="25.5" x14ac:dyDescent="0.25">
      <c r="D1170" s="5" t="s">
        <v>2116</v>
      </c>
      <c r="E1170" s="5" t="s">
        <v>2117</v>
      </c>
      <c r="F11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70" s="2" t="str">
        <f>IF(Table1[[#This Row],[Type]]="Major",Table1[[#This Row],[Major Group]],G1169)</f>
        <v>51-0000</v>
      </c>
      <c r="H1170" s="2" t="str">
        <f>IF(Table1[[#This Row],[Major Group]]&lt;&gt;"","n/a",IF(Table1[[#This Row],[Minor Group]]&lt;&gt;"",Table1[[#This Row],[Minor Group]],H1169))</f>
        <v>51-2000</v>
      </c>
      <c r="I1170" s="2" t="str">
        <f>IF(Table1[[#This Row],[Major Group]]&lt;&gt;"","n/a",IF(Table1[[#This Row],[Minor Group]]&lt;&gt;"","n/a",IF(Table1[[#This Row],[Broad Group]]&lt;&gt;"",Table1[[#This Row],[Broad Group]],I1169)))</f>
        <v>51-2020</v>
      </c>
      <c r="J11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Occupation]],J1169))))</f>
        <v>51-2023</v>
      </c>
      <c r="K1170" s="2" t="str">
        <f>Table1[[#This Row],[Group Name]]</f>
        <v>Electromechanical Equipment Assemblers</v>
      </c>
    </row>
    <row r="1171" spans="2:11" ht="30" x14ac:dyDescent="0.25">
      <c r="C1171" s="1" t="s">
        <v>2118</v>
      </c>
      <c r="E1171" s="1" t="s">
        <v>2119</v>
      </c>
      <c r="F11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71" s="2" t="str">
        <f>IF(Table1[[#This Row],[Type]]="Major",Table1[[#This Row],[Major Group]],G1170)</f>
        <v>51-0000</v>
      </c>
      <c r="H1171" s="2" t="str">
        <f>IF(Table1[[#This Row],[Major Group]]&lt;&gt;"","n/a",IF(Table1[[#This Row],[Minor Group]]&lt;&gt;"",Table1[[#This Row],[Minor Group]],H1170))</f>
        <v>51-2000</v>
      </c>
      <c r="I1171" s="2" t="str">
        <f>IF(Table1[[#This Row],[Major Group]]&lt;&gt;"","n/a",IF(Table1[[#This Row],[Minor Group]]&lt;&gt;"","n/a",IF(Table1[[#This Row],[Broad Group]]&lt;&gt;"",Table1[[#This Row],[Broad Group]],I1170)))</f>
        <v>51-2030</v>
      </c>
      <c r="J11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Occupation]],J1170))))</f>
        <v>n/a</v>
      </c>
      <c r="K1171" s="2" t="str">
        <f>Table1[[#This Row],[Group Name]]</f>
        <v>Engine and Other Machine Assemblers</v>
      </c>
    </row>
    <row r="1172" spans="2:11" x14ac:dyDescent="0.25">
      <c r="D1172" s="5" t="s">
        <v>2120</v>
      </c>
      <c r="E1172" s="5" t="s">
        <v>2119</v>
      </c>
      <c r="F11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72" s="2" t="str">
        <f>IF(Table1[[#This Row],[Type]]="Major",Table1[[#This Row],[Major Group]],G1171)</f>
        <v>51-0000</v>
      </c>
      <c r="H1172" s="2" t="str">
        <f>IF(Table1[[#This Row],[Major Group]]&lt;&gt;"","n/a",IF(Table1[[#This Row],[Minor Group]]&lt;&gt;"",Table1[[#This Row],[Minor Group]],H1171))</f>
        <v>51-2000</v>
      </c>
      <c r="I1172" s="2" t="str">
        <f>IF(Table1[[#This Row],[Major Group]]&lt;&gt;"","n/a",IF(Table1[[#This Row],[Minor Group]]&lt;&gt;"","n/a",IF(Table1[[#This Row],[Broad Group]]&lt;&gt;"",Table1[[#This Row],[Broad Group]],I1171)))</f>
        <v>51-2030</v>
      </c>
      <c r="J11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Occupation]],J1171))))</f>
        <v>51-2031</v>
      </c>
      <c r="K1172" s="2" t="str">
        <f>Table1[[#This Row],[Group Name]]</f>
        <v>Engine and Other Machine Assemblers</v>
      </c>
    </row>
    <row r="1173" spans="2:11" ht="30" x14ac:dyDescent="0.25">
      <c r="C1173" s="1" t="s">
        <v>2121</v>
      </c>
      <c r="E1173" s="1" t="s">
        <v>2122</v>
      </c>
      <c r="F11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73" s="2" t="str">
        <f>IF(Table1[[#This Row],[Type]]="Major",Table1[[#This Row],[Major Group]],G1172)</f>
        <v>51-0000</v>
      </c>
      <c r="H1173" s="2" t="str">
        <f>IF(Table1[[#This Row],[Major Group]]&lt;&gt;"","n/a",IF(Table1[[#This Row],[Minor Group]]&lt;&gt;"",Table1[[#This Row],[Minor Group]],H1172))</f>
        <v>51-2000</v>
      </c>
      <c r="I1173" s="2" t="str">
        <f>IF(Table1[[#This Row],[Major Group]]&lt;&gt;"","n/a",IF(Table1[[#This Row],[Minor Group]]&lt;&gt;"","n/a",IF(Table1[[#This Row],[Broad Group]]&lt;&gt;"",Table1[[#This Row],[Broad Group]],I1172)))</f>
        <v>51-2040</v>
      </c>
      <c r="J11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Occupation]],J1172))))</f>
        <v>n/a</v>
      </c>
      <c r="K1173" s="2" t="str">
        <f>Table1[[#This Row],[Group Name]]</f>
        <v>Structural Metal Fabricators and Fitters</v>
      </c>
    </row>
    <row r="1174" spans="2:11" ht="25.5" x14ac:dyDescent="0.25">
      <c r="D1174" s="5" t="s">
        <v>2123</v>
      </c>
      <c r="E1174" s="5" t="s">
        <v>2122</v>
      </c>
      <c r="F11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74" s="2" t="str">
        <f>IF(Table1[[#This Row],[Type]]="Major",Table1[[#This Row],[Major Group]],G1173)</f>
        <v>51-0000</v>
      </c>
      <c r="H1174" s="2" t="str">
        <f>IF(Table1[[#This Row],[Major Group]]&lt;&gt;"","n/a",IF(Table1[[#This Row],[Minor Group]]&lt;&gt;"",Table1[[#This Row],[Minor Group]],H1173))</f>
        <v>51-2000</v>
      </c>
      <c r="I1174" s="2" t="str">
        <f>IF(Table1[[#This Row],[Major Group]]&lt;&gt;"","n/a",IF(Table1[[#This Row],[Minor Group]]&lt;&gt;"","n/a",IF(Table1[[#This Row],[Broad Group]]&lt;&gt;"",Table1[[#This Row],[Broad Group]],I1173)))</f>
        <v>51-2040</v>
      </c>
      <c r="J11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Occupation]],J1173))))</f>
        <v>51-2041</v>
      </c>
      <c r="K1174" s="2" t="str">
        <f>Table1[[#This Row],[Group Name]]</f>
        <v>Structural Metal Fabricators and Fitters</v>
      </c>
    </row>
    <row r="1175" spans="2:11" ht="30" x14ac:dyDescent="0.25">
      <c r="C1175" s="1" t="s">
        <v>2124</v>
      </c>
      <c r="E1175" s="1" t="s">
        <v>2125</v>
      </c>
      <c r="F11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75" s="2" t="str">
        <f>IF(Table1[[#This Row],[Type]]="Major",Table1[[#This Row],[Major Group]],G1174)</f>
        <v>51-0000</v>
      </c>
      <c r="H1175" s="2" t="str">
        <f>IF(Table1[[#This Row],[Major Group]]&lt;&gt;"","n/a",IF(Table1[[#This Row],[Minor Group]]&lt;&gt;"",Table1[[#This Row],[Minor Group]],H1174))</f>
        <v>51-2000</v>
      </c>
      <c r="I1175" s="2" t="str">
        <f>IF(Table1[[#This Row],[Major Group]]&lt;&gt;"","n/a",IF(Table1[[#This Row],[Minor Group]]&lt;&gt;"","n/a",IF(Table1[[#This Row],[Broad Group]]&lt;&gt;"",Table1[[#This Row],[Broad Group]],I1174)))</f>
        <v>51-2050</v>
      </c>
      <c r="J11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Occupation]],J1174))))</f>
        <v>n/a</v>
      </c>
      <c r="K1175" s="2" t="str">
        <f>Table1[[#This Row],[Group Name]]</f>
        <v>Fiberglass Laminators and Fabricators</v>
      </c>
    </row>
    <row r="1176" spans="2:11" x14ac:dyDescent="0.25">
      <c r="D1176" s="5" t="s">
        <v>2126</v>
      </c>
      <c r="E1176" s="5" t="s">
        <v>2125</v>
      </c>
      <c r="F11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76" s="2" t="str">
        <f>IF(Table1[[#This Row],[Type]]="Major",Table1[[#This Row],[Major Group]],G1175)</f>
        <v>51-0000</v>
      </c>
      <c r="H1176" s="2" t="str">
        <f>IF(Table1[[#This Row],[Major Group]]&lt;&gt;"","n/a",IF(Table1[[#This Row],[Minor Group]]&lt;&gt;"",Table1[[#This Row],[Minor Group]],H1175))</f>
        <v>51-2000</v>
      </c>
      <c r="I1176" s="2" t="str">
        <f>IF(Table1[[#This Row],[Major Group]]&lt;&gt;"","n/a",IF(Table1[[#This Row],[Minor Group]]&lt;&gt;"","n/a",IF(Table1[[#This Row],[Broad Group]]&lt;&gt;"",Table1[[#This Row],[Broad Group]],I1175)))</f>
        <v>51-2050</v>
      </c>
      <c r="J11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Occupation]],J1175))))</f>
        <v>51-2051</v>
      </c>
      <c r="K1176" s="2" t="str">
        <f>Table1[[#This Row],[Group Name]]</f>
        <v>Fiberglass Laminators and Fabricators</v>
      </c>
    </row>
    <row r="1177" spans="2:11" ht="30" x14ac:dyDescent="0.25">
      <c r="C1177" s="1" t="s">
        <v>2127</v>
      </c>
      <c r="E1177" s="1" t="s">
        <v>2128</v>
      </c>
      <c r="F11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77" s="2" t="str">
        <f>IF(Table1[[#This Row],[Type]]="Major",Table1[[#This Row],[Major Group]],G1176)</f>
        <v>51-0000</v>
      </c>
      <c r="H1177" s="2" t="str">
        <f>IF(Table1[[#This Row],[Major Group]]&lt;&gt;"","n/a",IF(Table1[[#This Row],[Minor Group]]&lt;&gt;"",Table1[[#This Row],[Minor Group]],H1176))</f>
        <v>51-2000</v>
      </c>
      <c r="I1177" s="2" t="str">
        <f>IF(Table1[[#This Row],[Major Group]]&lt;&gt;"","n/a",IF(Table1[[#This Row],[Minor Group]]&lt;&gt;"","n/a",IF(Table1[[#This Row],[Broad Group]]&lt;&gt;"",Table1[[#This Row],[Broad Group]],I1176)))</f>
        <v>51-2060</v>
      </c>
      <c r="J11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Occupation]],J1176))))</f>
        <v>n/a</v>
      </c>
      <c r="K1177" s="2" t="str">
        <f>Table1[[#This Row],[Group Name]]</f>
        <v>Timing Device Assemblers and Adjusters</v>
      </c>
    </row>
    <row r="1178" spans="2:11" ht="25.5" x14ac:dyDescent="0.25">
      <c r="D1178" s="5" t="s">
        <v>2129</v>
      </c>
      <c r="E1178" s="5" t="s">
        <v>2128</v>
      </c>
      <c r="F11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78" s="2" t="str">
        <f>IF(Table1[[#This Row],[Type]]="Major",Table1[[#This Row],[Major Group]],G1177)</f>
        <v>51-0000</v>
      </c>
      <c r="H1178" s="2" t="str">
        <f>IF(Table1[[#This Row],[Major Group]]&lt;&gt;"","n/a",IF(Table1[[#This Row],[Minor Group]]&lt;&gt;"",Table1[[#This Row],[Minor Group]],H1177))</f>
        <v>51-2000</v>
      </c>
      <c r="I1178" s="2" t="str">
        <f>IF(Table1[[#This Row],[Major Group]]&lt;&gt;"","n/a",IF(Table1[[#This Row],[Minor Group]]&lt;&gt;"","n/a",IF(Table1[[#This Row],[Broad Group]]&lt;&gt;"",Table1[[#This Row],[Broad Group]],I1177)))</f>
        <v>51-2060</v>
      </c>
      <c r="J11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Occupation]],J1177))))</f>
        <v>51-2061</v>
      </c>
      <c r="K1178" s="2" t="str">
        <f>Table1[[#This Row],[Group Name]]</f>
        <v>Timing Device Assemblers and Adjusters</v>
      </c>
    </row>
    <row r="1179" spans="2:11" ht="30" x14ac:dyDescent="0.25">
      <c r="C1179" s="1" t="s">
        <v>2130</v>
      </c>
      <c r="E1179" s="1" t="s">
        <v>2131</v>
      </c>
      <c r="F11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79" s="2" t="str">
        <f>IF(Table1[[#This Row],[Type]]="Major",Table1[[#This Row],[Major Group]],G1178)</f>
        <v>51-0000</v>
      </c>
      <c r="H1179" s="2" t="str">
        <f>IF(Table1[[#This Row],[Major Group]]&lt;&gt;"","n/a",IF(Table1[[#This Row],[Minor Group]]&lt;&gt;"",Table1[[#This Row],[Minor Group]],H1178))</f>
        <v>51-2000</v>
      </c>
      <c r="I1179" s="2" t="str">
        <f>IF(Table1[[#This Row],[Major Group]]&lt;&gt;"","n/a",IF(Table1[[#This Row],[Minor Group]]&lt;&gt;"","n/a",IF(Table1[[#This Row],[Broad Group]]&lt;&gt;"",Table1[[#This Row],[Broad Group]],I1178)))</f>
        <v>51-2090</v>
      </c>
      <c r="J11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Occupation]],J1178))))</f>
        <v>n/a</v>
      </c>
      <c r="K1179" s="2" t="str">
        <f>Table1[[#This Row],[Group Name]]</f>
        <v>Miscellaneous Assemblers and Fabricators</v>
      </c>
    </row>
    <row r="1180" spans="2:11" x14ac:dyDescent="0.25">
      <c r="D1180" s="5" t="s">
        <v>2132</v>
      </c>
      <c r="E1180" s="5" t="s">
        <v>2133</v>
      </c>
      <c r="F11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80" s="2" t="str">
        <f>IF(Table1[[#This Row],[Type]]="Major",Table1[[#This Row],[Major Group]],G1179)</f>
        <v>51-0000</v>
      </c>
      <c r="H1180" s="2" t="str">
        <f>IF(Table1[[#This Row],[Major Group]]&lt;&gt;"","n/a",IF(Table1[[#This Row],[Minor Group]]&lt;&gt;"",Table1[[#This Row],[Minor Group]],H1179))</f>
        <v>51-2000</v>
      </c>
      <c r="I1180" s="2" t="str">
        <f>IF(Table1[[#This Row],[Major Group]]&lt;&gt;"","n/a",IF(Table1[[#This Row],[Minor Group]]&lt;&gt;"","n/a",IF(Table1[[#This Row],[Broad Group]]&lt;&gt;"",Table1[[#This Row],[Broad Group]],I1179)))</f>
        <v>51-2090</v>
      </c>
      <c r="J11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Occupation]],J1179))))</f>
        <v>51-2092</v>
      </c>
      <c r="K1180" s="2" t="str">
        <f>Table1[[#This Row],[Group Name]]</f>
        <v>Team Assemblers</v>
      </c>
    </row>
    <row r="1181" spans="2:11" x14ac:dyDescent="0.25">
      <c r="D1181" s="5" t="s">
        <v>2134</v>
      </c>
      <c r="E1181" s="5" t="s">
        <v>2135</v>
      </c>
      <c r="F11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81" s="2" t="str">
        <f>IF(Table1[[#This Row],[Type]]="Major",Table1[[#This Row],[Major Group]],G1180)</f>
        <v>51-0000</v>
      </c>
      <c r="H1181" s="2" t="str">
        <f>IF(Table1[[#This Row],[Major Group]]&lt;&gt;"","n/a",IF(Table1[[#This Row],[Minor Group]]&lt;&gt;"",Table1[[#This Row],[Minor Group]],H1180))</f>
        <v>51-2000</v>
      </c>
      <c r="I1181" s="2" t="str">
        <f>IF(Table1[[#This Row],[Major Group]]&lt;&gt;"","n/a",IF(Table1[[#This Row],[Minor Group]]&lt;&gt;"","n/a",IF(Table1[[#This Row],[Broad Group]]&lt;&gt;"",Table1[[#This Row],[Broad Group]],I1180)))</f>
        <v>51-2090</v>
      </c>
      <c r="J11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Occupation]],J1180))))</f>
        <v>51-2099</v>
      </c>
      <c r="K1181" s="2" t="str">
        <f>Table1[[#This Row],[Group Name]]</f>
        <v>Assemblers and Fabricators, All Other</v>
      </c>
    </row>
    <row r="1182" spans="2:11" x14ac:dyDescent="0.25">
      <c r="B1182" s="3" t="s">
        <v>2136</v>
      </c>
      <c r="E1182" s="3" t="s">
        <v>2137</v>
      </c>
      <c r="F11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182" s="2" t="str">
        <f>IF(Table1[[#This Row],[Type]]="Major",Table1[[#This Row],[Major Group]],G1181)</f>
        <v>51-0000</v>
      </c>
      <c r="H1182" s="2" t="str">
        <f>IF(Table1[[#This Row],[Major Group]]&lt;&gt;"","n/a",IF(Table1[[#This Row],[Minor Group]]&lt;&gt;"",Table1[[#This Row],[Minor Group]],H1181))</f>
        <v>51-3000</v>
      </c>
      <c r="I1182" s="2" t="str">
        <f>IF(Table1[[#This Row],[Major Group]]&lt;&gt;"","n/a",IF(Table1[[#This Row],[Minor Group]]&lt;&gt;"","n/a",IF(Table1[[#This Row],[Broad Group]]&lt;&gt;"",Table1[[#This Row],[Broad Group]],I1181)))</f>
        <v>n/a</v>
      </c>
      <c r="J11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Occupation]],J1181))))</f>
        <v>n/a</v>
      </c>
      <c r="K1182" s="2" t="str">
        <f>Table1[[#This Row],[Group Name]]</f>
        <v>Food Processing Workers</v>
      </c>
    </row>
    <row r="1183" spans="2:11" x14ac:dyDescent="0.25">
      <c r="C1183" s="1" t="s">
        <v>2138</v>
      </c>
      <c r="E1183" s="1" t="s">
        <v>2139</v>
      </c>
      <c r="F11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83" s="2" t="str">
        <f>IF(Table1[[#This Row],[Type]]="Major",Table1[[#This Row],[Major Group]],G1182)</f>
        <v>51-0000</v>
      </c>
      <c r="H1183" s="2" t="str">
        <f>IF(Table1[[#This Row],[Major Group]]&lt;&gt;"","n/a",IF(Table1[[#This Row],[Minor Group]]&lt;&gt;"",Table1[[#This Row],[Minor Group]],H1182))</f>
        <v>51-3000</v>
      </c>
      <c r="I1183" s="2" t="str">
        <f>IF(Table1[[#This Row],[Major Group]]&lt;&gt;"","n/a",IF(Table1[[#This Row],[Minor Group]]&lt;&gt;"","n/a",IF(Table1[[#This Row],[Broad Group]]&lt;&gt;"",Table1[[#This Row],[Broad Group]],I1182)))</f>
        <v>51-3010</v>
      </c>
      <c r="J11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Occupation]],J1182))))</f>
        <v>n/a</v>
      </c>
      <c r="K1183" s="2" t="str">
        <f>Table1[[#This Row],[Group Name]]</f>
        <v>Bakers</v>
      </c>
    </row>
    <row r="1184" spans="2:11" x14ac:dyDescent="0.25">
      <c r="D1184" s="5" t="s">
        <v>2140</v>
      </c>
      <c r="E1184" s="5" t="s">
        <v>2139</v>
      </c>
      <c r="F11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84" s="2" t="str">
        <f>IF(Table1[[#This Row],[Type]]="Major",Table1[[#This Row],[Major Group]],G1183)</f>
        <v>51-0000</v>
      </c>
      <c r="H1184" s="2" t="str">
        <f>IF(Table1[[#This Row],[Major Group]]&lt;&gt;"","n/a",IF(Table1[[#This Row],[Minor Group]]&lt;&gt;"",Table1[[#This Row],[Minor Group]],H1183))</f>
        <v>51-3000</v>
      </c>
      <c r="I1184" s="2" t="str">
        <f>IF(Table1[[#This Row],[Major Group]]&lt;&gt;"","n/a",IF(Table1[[#This Row],[Minor Group]]&lt;&gt;"","n/a",IF(Table1[[#This Row],[Broad Group]]&lt;&gt;"",Table1[[#This Row],[Broad Group]],I1183)))</f>
        <v>51-3010</v>
      </c>
      <c r="J11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Occupation]],J1183))))</f>
        <v>51-3011</v>
      </c>
      <c r="K1184" s="2" t="str">
        <f>Table1[[#This Row],[Group Name]]</f>
        <v>Bakers</v>
      </c>
    </row>
    <row r="1185" spans="2:11" ht="30" x14ac:dyDescent="0.25">
      <c r="C1185" s="1" t="s">
        <v>2141</v>
      </c>
      <c r="E1185" s="1" t="s">
        <v>2142</v>
      </c>
      <c r="F11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85" s="2" t="str">
        <f>IF(Table1[[#This Row],[Type]]="Major",Table1[[#This Row],[Major Group]],G1184)</f>
        <v>51-0000</v>
      </c>
      <c r="H1185" s="2" t="str">
        <f>IF(Table1[[#This Row],[Major Group]]&lt;&gt;"","n/a",IF(Table1[[#This Row],[Minor Group]]&lt;&gt;"",Table1[[#This Row],[Minor Group]],H1184))</f>
        <v>51-3000</v>
      </c>
      <c r="I1185" s="2" t="str">
        <f>IF(Table1[[#This Row],[Major Group]]&lt;&gt;"","n/a",IF(Table1[[#This Row],[Minor Group]]&lt;&gt;"","n/a",IF(Table1[[#This Row],[Broad Group]]&lt;&gt;"",Table1[[#This Row],[Broad Group]],I1184)))</f>
        <v>51-3020</v>
      </c>
      <c r="J11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Occupation]],J1184))))</f>
        <v>n/a</v>
      </c>
      <c r="K1185" s="2" t="str">
        <f>Table1[[#This Row],[Group Name]]</f>
        <v>Butchers and Other Meat, Poultry, and Fish Processing Workers</v>
      </c>
    </row>
    <row r="1186" spans="2:11" x14ac:dyDescent="0.25">
      <c r="D1186" s="5" t="s">
        <v>2143</v>
      </c>
      <c r="E1186" s="5" t="s">
        <v>2144</v>
      </c>
      <c r="F11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86" s="2" t="str">
        <f>IF(Table1[[#This Row],[Type]]="Major",Table1[[#This Row],[Major Group]],G1185)</f>
        <v>51-0000</v>
      </c>
      <c r="H1186" s="2" t="str">
        <f>IF(Table1[[#This Row],[Major Group]]&lt;&gt;"","n/a",IF(Table1[[#This Row],[Minor Group]]&lt;&gt;"",Table1[[#This Row],[Minor Group]],H1185))</f>
        <v>51-3000</v>
      </c>
      <c r="I1186" s="2" t="str">
        <f>IF(Table1[[#This Row],[Major Group]]&lt;&gt;"","n/a",IF(Table1[[#This Row],[Minor Group]]&lt;&gt;"","n/a",IF(Table1[[#This Row],[Broad Group]]&lt;&gt;"",Table1[[#This Row],[Broad Group]],I1185)))</f>
        <v>51-3020</v>
      </c>
      <c r="J11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Occupation]],J1185))))</f>
        <v>51-3021</v>
      </c>
      <c r="K1186" s="2" t="str">
        <f>Table1[[#This Row],[Group Name]]</f>
        <v>Butchers and Meat Cutters</v>
      </c>
    </row>
    <row r="1187" spans="2:11" ht="25.5" x14ac:dyDescent="0.25">
      <c r="D1187" s="5" t="s">
        <v>2145</v>
      </c>
      <c r="E1187" s="5" t="s">
        <v>2146</v>
      </c>
      <c r="F11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87" s="2" t="str">
        <f>IF(Table1[[#This Row],[Type]]="Major",Table1[[#This Row],[Major Group]],G1186)</f>
        <v>51-0000</v>
      </c>
      <c r="H1187" s="2" t="str">
        <f>IF(Table1[[#This Row],[Major Group]]&lt;&gt;"","n/a",IF(Table1[[#This Row],[Minor Group]]&lt;&gt;"",Table1[[#This Row],[Minor Group]],H1186))</f>
        <v>51-3000</v>
      </c>
      <c r="I1187" s="2" t="str">
        <f>IF(Table1[[#This Row],[Major Group]]&lt;&gt;"","n/a",IF(Table1[[#This Row],[Minor Group]]&lt;&gt;"","n/a",IF(Table1[[#This Row],[Broad Group]]&lt;&gt;"",Table1[[#This Row],[Broad Group]],I1186)))</f>
        <v>51-3020</v>
      </c>
      <c r="J11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Occupation]],J1186))))</f>
        <v>51-3022</v>
      </c>
      <c r="K1187" s="2" t="str">
        <f>Table1[[#This Row],[Group Name]]</f>
        <v>Meat, Poultry, and Fish Cutters and Trimmers</v>
      </c>
    </row>
    <row r="1188" spans="2:11" x14ac:dyDescent="0.25">
      <c r="D1188" s="5" t="s">
        <v>2147</v>
      </c>
      <c r="E1188" s="5" t="s">
        <v>2148</v>
      </c>
      <c r="F11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88" s="2" t="str">
        <f>IF(Table1[[#This Row],[Type]]="Major",Table1[[#This Row],[Major Group]],G1187)</f>
        <v>51-0000</v>
      </c>
      <c r="H1188" s="2" t="str">
        <f>IF(Table1[[#This Row],[Major Group]]&lt;&gt;"","n/a",IF(Table1[[#This Row],[Minor Group]]&lt;&gt;"",Table1[[#This Row],[Minor Group]],H1187))</f>
        <v>51-3000</v>
      </c>
      <c r="I1188" s="2" t="str">
        <f>IF(Table1[[#This Row],[Major Group]]&lt;&gt;"","n/a",IF(Table1[[#This Row],[Minor Group]]&lt;&gt;"","n/a",IF(Table1[[#This Row],[Broad Group]]&lt;&gt;"",Table1[[#This Row],[Broad Group]],I1187)))</f>
        <v>51-3020</v>
      </c>
      <c r="J11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Occupation]],J1187))))</f>
        <v>51-3023</v>
      </c>
      <c r="K1188" s="2" t="str">
        <f>Table1[[#This Row],[Group Name]]</f>
        <v>Slaughterers and Meat Packers</v>
      </c>
    </row>
    <row r="1189" spans="2:11" ht="30" x14ac:dyDescent="0.25">
      <c r="C1189" s="1" t="s">
        <v>2149</v>
      </c>
      <c r="E1189" s="1" t="s">
        <v>2150</v>
      </c>
      <c r="F11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89" s="2" t="str">
        <f>IF(Table1[[#This Row],[Type]]="Major",Table1[[#This Row],[Major Group]],G1188)</f>
        <v>51-0000</v>
      </c>
      <c r="H1189" s="2" t="str">
        <f>IF(Table1[[#This Row],[Major Group]]&lt;&gt;"","n/a",IF(Table1[[#This Row],[Minor Group]]&lt;&gt;"",Table1[[#This Row],[Minor Group]],H1188))</f>
        <v>51-3000</v>
      </c>
      <c r="I1189" s="2" t="str">
        <f>IF(Table1[[#This Row],[Major Group]]&lt;&gt;"","n/a",IF(Table1[[#This Row],[Minor Group]]&lt;&gt;"","n/a",IF(Table1[[#This Row],[Broad Group]]&lt;&gt;"",Table1[[#This Row],[Broad Group]],I1188)))</f>
        <v>51-3090</v>
      </c>
      <c r="J11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Occupation]],J1188))))</f>
        <v>n/a</v>
      </c>
      <c r="K1189" s="2" t="str">
        <f>Table1[[#This Row],[Group Name]]</f>
        <v>Miscellaneous Food Processing Workers</v>
      </c>
    </row>
    <row r="1190" spans="2:11" ht="38.25" x14ac:dyDescent="0.25">
      <c r="D1190" s="5" t="s">
        <v>2151</v>
      </c>
      <c r="E1190" s="5" t="s">
        <v>2152</v>
      </c>
      <c r="F11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90" s="2" t="str">
        <f>IF(Table1[[#This Row],[Type]]="Major",Table1[[#This Row],[Major Group]],G1189)</f>
        <v>51-0000</v>
      </c>
      <c r="H1190" s="2" t="str">
        <f>IF(Table1[[#This Row],[Major Group]]&lt;&gt;"","n/a",IF(Table1[[#This Row],[Minor Group]]&lt;&gt;"",Table1[[#This Row],[Minor Group]],H1189))</f>
        <v>51-3000</v>
      </c>
      <c r="I1190" s="2" t="str">
        <f>IF(Table1[[#This Row],[Major Group]]&lt;&gt;"","n/a",IF(Table1[[#This Row],[Minor Group]]&lt;&gt;"","n/a",IF(Table1[[#This Row],[Broad Group]]&lt;&gt;"",Table1[[#This Row],[Broad Group]],I1189)))</f>
        <v>51-3090</v>
      </c>
      <c r="J11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Occupation]],J1189))))</f>
        <v>51-3091</v>
      </c>
      <c r="K1190" s="2" t="str">
        <f>Table1[[#This Row],[Group Name]]</f>
        <v>Food and Tobacco Roasting, Baking, and Drying Machine Operators and Tenders</v>
      </c>
    </row>
    <row r="1191" spans="2:11" x14ac:dyDescent="0.25">
      <c r="D1191" s="5" t="s">
        <v>2153</v>
      </c>
      <c r="E1191" s="5" t="s">
        <v>2154</v>
      </c>
      <c r="F11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91" s="2" t="str">
        <f>IF(Table1[[#This Row],[Type]]="Major",Table1[[#This Row],[Major Group]],G1190)</f>
        <v>51-0000</v>
      </c>
      <c r="H1191" s="2" t="str">
        <f>IF(Table1[[#This Row],[Major Group]]&lt;&gt;"","n/a",IF(Table1[[#This Row],[Minor Group]]&lt;&gt;"",Table1[[#This Row],[Minor Group]],H1190))</f>
        <v>51-3000</v>
      </c>
      <c r="I1191" s="2" t="str">
        <f>IF(Table1[[#This Row],[Major Group]]&lt;&gt;"","n/a",IF(Table1[[#This Row],[Minor Group]]&lt;&gt;"","n/a",IF(Table1[[#This Row],[Broad Group]]&lt;&gt;"",Table1[[#This Row],[Broad Group]],I1190)))</f>
        <v>51-3090</v>
      </c>
      <c r="J11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Occupation]],J1190))))</f>
        <v>51-3092</v>
      </c>
      <c r="K1191" s="2" t="str">
        <f>Table1[[#This Row],[Group Name]]</f>
        <v>Food Batchmakers</v>
      </c>
    </row>
    <row r="1192" spans="2:11" ht="25.5" x14ac:dyDescent="0.25">
      <c r="D1192" s="5" t="s">
        <v>2155</v>
      </c>
      <c r="E1192" s="5" t="s">
        <v>2156</v>
      </c>
      <c r="F11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92" s="2" t="str">
        <f>IF(Table1[[#This Row],[Type]]="Major",Table1[[#This Row],[Major Group]],G1191)</f>
        <v>51-0000</v>
      </c>
      <c r="H1192" s="2" t="str">
        <f>IF(Table1[[#This Row],[Major Group]]&lt;&gt;"","n/a",IF(Table1[[#This Row],[Minor Group]]&lt;&gt;"",Table1[[#This Row],[Minor Group]],H1191))</f>
        <v>51-3000</v>
      </c>
      <c r="I1192" s="2" t="str">
        <f>IF(Table1[[#This Row],[Major Group]]&lt;&gt;"","n/a",IF(Table1[[#This Row],[Minor Group]]&lt;&gt;"","n/a",IF(Table1[[#This Row],[Broad Group]]&lt;&gt;"",Table1[[#This Row],[Broad Group]],I1191)))</f>
        <v>51-3090</v>
      </c>
      <c r="J11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Occupation]],J1191))))</f>
        <v>51-3093</v>
      </c>
      <c r="K1192" s="2" t="str">
        <f>Table1[[#This Row],[Group Name]]</f>
        <v>Food Cooking Machine Operators and Tenders</v>
      </c>
    </row>
    <row r="1193" spans="2:11" x14ac:dyDescent="0.25">
      <c r="D1193" s="5" t="s">
        <v>2157</v>
      </c>
      <c r="E1193" s="5" t="s">
        <v>2158</v>
      </c>
      <c r="F11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93" s="2" t="str">
        <f>IF(Table1[[#This Row],[Type]]="Major",Table1[[#This Row],[Major Group]],G1192)</f>
        <v>51-0000</v>
      </c>
      <c r="H1193" s="2" t="str">
        <f>IF(Table1[[#This Row],[Major Group]]&lt;&gt;"","n/a",IF(Table1[[#This Row],[Minor Group]]&lt;&gt;"",Table1[[#This Row],[Minor Group]],H1192))</f>
        <v>51-3000</v>
      </c>
      <c r="I1193" s="2" t="str">
        <f>IF(Table1[[#This Row],[Major Group]]&lt;&gt;"","n/a",IF(Table1[[#This Row],[Minor Group]]&lt;&gt;"","n/a",IF(Table1[[#This Row],[Broad Group]]&lt;&gt;"",Table1[[#This Row],[Broad Group]],I1192)))</f>
        <v>51-3090</v>
      </c>
      <c r="J11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Occupation]],J1192))))</f>
        <v>51-3099</v>
      </c>
      <c r="K1193" s="2" t="str">
        <f>Table1[[#This Row],[Group Name]]</f>
        <v>Food Processing Workers, All Other</v>
      </c>
    </row>
    <row r="1194" spans="2:11" x14ac:dyDescent="0.25">
      <c r="B1194" s="3" t="s">
        <v>2159</v>
      </c>
      <c r="E1194" s="3" t="s">
        <v>2160</v>
      </c>
      <c r="F11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194" s="2" t="str">
        <f>IF(Table1[[#This Row],[Type]]="Major",Table1[[#This Row],[Major Group]],G1193)</f>
        <v>51-0000</v>
      </c>
      <c r="H1194" s="2" t="str">
        <f>IF(Table1[[#This Row],[Major Group]]&lt;&gt;"","n/a",IF(Table1[[#This Row],[Minor Group]]&lt;&gt;"",Table1[[#This Row],[Minor Group]],H1193))</f>
        <v>51-4000</v>
      </c>
      <c r="I1194" s="2" t="str">
        <f>IF(Table1[[#This Row],[Major Group]]&lt;&gt;"","n/a",IF(Table1[[#This Row],[Minor Group]]&lt;&gt;"","n/a",IF(Table1[[#This Row],[Broad Group]]&lt;&gt;"",Table1[[#This Row],[Broad Group]],I1193)))</f>
        <v>n/a</v>
      </c>
      <c r="J11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Occupation]],J1193))))</f>
        <v>n/a</v>
      </c>
      <c r="K1194" s="2" t="str">
        <f>Table1[[#This Row],[Group Name]]</f>
        <v>Metal Workers and Plastic Workers</v>
      </c>
    </row>
    <row r="1195" spans="2:11" ht="45" x14ac:dyDescent="0.25">
      <c r="C1195" s="1" t="s">
        <v>2161</v>
      </c>
      <c r="E1195" s="1" t="s">
        <v>2162</v>
      </c>
      <c r="F11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95" s="2" t="str">
        <f>IF(Table1[[#This Row],[Type]]="Major",Table1[[#This Row],[Major Group]],G1194)</f>
        <v>51-0000</v>
      </c>
      <c r="H1195" s="2" t="str">
        <f>IF(Table1[[#This Row],[Major Group]]&lt;&gt;"","n/a",IF(Table1[[#This Row],[Minor Group]]&lt;&gt;"",Table1[[#This Row],[Minor Group]],H1194))</f>
        <v>51-4000</v>
      </c>
      <c r="I1195" s="2" t="str">
        <f>IF(Table1[[#This Row],[Major Group]]&lt;&gt;"","n/a",IF(Table1[[#This Row],[Minor Group]]&lt;&gt;"","n/a",IF(Table1[[#This Row],[Broad Group]]&lt;&gt;"",Table1[[#This Row],[Broad Group]],I1194)))</f>
        <v>51-4020</v>
      </c>
      <c r="J11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Occupation]],J1194))))</f>
        <v>n/a</v>
      </c>
      <c r="K1195" s="2" t="str">
        <f>Table1[[#This Row],[Group Name]]</f>
        <v>Forming Machine Setters, Operators, and Tenders, Metal and Plastic</v>
      </c>
    </row>
    <row r="1196" spans="2:11" ht="38.25" x14ac:dyDescent="0.25">
      <c r="D1196" s="5" t="s">
        <v>2163</v>
      </c>
      <c r="E1196" s="5" t="s">
        <v>2164</v>
      </c>
      <c r="F11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96" s="2" t="str">
        <f>IF(Table1[[#This Row],[Type]]="Major",Table1[[#This Row],[Major Group]],G1195)</f>
        <v>51-0000</v>
      </c>
      <c r="H1196" s="2" t="str">
        <f>IF(Table1[[#This Row],[Major Group]]&lt;&gt;"","n/a",IF(Table1[[#This Row],[Minor Group]]&lt;&gt;"",Table1[[#This Row],[Minor Group]],H1195))</f>
        <v>51-4000</v>
      </c>
      <c r="I1196" s="2" t="str">
        <f>IF(Table1[[#This Row],[Major Group]]&lt;&gt;"","n/a",IF(Table1[[#This Row],[Minor Group]]&lt;&gt;"","n/a",IF(Table1[[#This Row],[Broad Group]]&lt;&gt;"",Table1[[#This Row],[Broad Group]],I1195)))</f>
        <v>51-4020</v>
      </c>
      <c r="J11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Occupation]],J1195))))</f>
        <v>51-4021</v>
      </c>
      <c r="K1196" s="2" t="str">
        <f>Table1[[#This Row],[Group Name]]</f>
        <v>Extruding and Drawing Machine Setters, Operators, and Tenders, Metal and Plastic</v>
      </c>
    </row>
    <row r="1197" spans="2:11" ht="25.5" x14ac:dyDescent="0.25">
      <c r="D1197" s="5" t="s">
        <v>2165</v>
      </c>
      <c r="E1197" s="5" t="s">
        <v>2166</v>
      </c>
      <c r="F11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97" s="2" t="str">
        <f>IF(Table1[[#This Row],[Type]]="Major",Table1[[#This Row],[Major Group]],G1196)</f>
        <v>51-0000</v>
      </c>
      <c r="H1197" s="2" t="str">
        <f>IF(Table1[[#This Row],[Major Group]]&lt;&gt;"","n/a",IF(Table1[[#This Row],[Minor Group]]&lt;&gt;"",Table1[[#This Row],[Minor Group]],H1196))</f>
        <v>51-4000</v>
      </c>
      <c r="I1197" s="2" t="str">
        <f>IF(Table1[[#This Row],[Major Group]]&lt;&gt;"","n/a",IF(Table1[[#This Row],[Minor Group]]&lt;&gt;"","n/a",IF(Table1[[#This Row],[Broad Group]]&lt;&gt;"",Table1[[#This Row],[Broad Group]],I1196)))</f>
        <v>51-4020</v>
      </c>
      <c r="J11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Occupation]],J1196))))</f>
        <v>51-4022</v>
      </c>
      <c r="K1197" s="2" t="str">
        <f>Table1[[#This Row],[Group Name]]</f>
        <v>Forging Machine Setters, Operators, and Tenders, Metal and Plastic</v>
      </c>
    </row>
    <row r="1198" spans="2:11" ht="25.5" x14ac:dyDescent="0.25">
      <c r="D1198" s="5" t="s">
        <v>2167</v>
      </c>
      <c r="E1198" s="5" t="s">
        <v>2168</v>
      </c>
      <c r="F11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198" s="2" t="str">
        <f>IF(Table1[[#This Row],[Type]]="Major",Table1[[#This Row],[Major Group]],G1197)</f>
        <v>51-0000</v>
      </c>
      <c r="H1198" s="2" t="str">
        <f>IF(Table1[[#This Row],[Major Group]]&lt;&gt;"","n/a",IF(Table1[[#This Row],[Minor Group]]&lt;&gt;"",Table1[[#This Row],[Minor Group]],H1197))</f>
        <v>51-4000</v>
      </c>
      <c r="I1198" s="2" t="str">
        <f>IF(Table1[[#This Row],[Major Group]]&lt;&gt;"","n/a",IF(Table1[[#This Row],[Minor Group]]&lt;&gt;"","n/a",IF(Table1[[#This Row],[Broad Group]]&lt;&gt;"",Table1[[#This Row],[Broad Group]],I1197)))</f>
        <v>51-4020</v>
      </c>
      <c r="J11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Occupation]],J1197))))</f>
        <v>51-4023</v>
      </c>
      <c r="K1198" s="2" t="str">
        <f>Table1[[#This Row],[Group Name]]</f>
        <v>Rolling Machine Setters, Operators, and Tenders, Metal and Plastic</v>
      </c>
    </row>
    <row r="1199" spans="2:11" ht="45" x14ac:dyDescent="0.25">
      <c r="C1199" s="1" t="s">
        <v>2169</v>
      </c>
      <c r="E1199" s="1" t="s">
        <v>2170</v>
      </c>
      <c r="F11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199" s="2" t="str">
        <f>IF(Table1[[#This Row],[Type]]="Major",Table1[[#This Row],[Major Group]],G1198)</f>
        <v>51-0000</v>
      </c>
      <c r="H1199" s="2" t="str">
        <f>IF(Table1[[#This Row],[Major Group]]&lt;&gt;"","n/a",IF(Table1[[#This Row],[Minor Group]]&lt;&gt;"",Table1[[#This Row],[Minor Group]],H1198))</f>
        <v>51-4000</v>
      </c>
      <c r="I1199" s="2" t="str">
        <f>IF(Table1[[#This Row],[Major Group]]&lt;&gt;"","n/a",IF(Table1[[#This Row],[Minor Group]]&lt;&gt;"","n/a",IF(Table1[[#This Row],[Broad Group]]&lt;&gt;"",Table1[[#This Row],[Broad Group]],I1198)))</f>
        <v>51-4030</v>
      </c>
      <c r="J11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Occupation]],J1198))))</f>
        <v>n/a</v>
      </c>
      <c r="K1199" s="2" t="str">
        <f>Table1[[#This Row],[Group Name]]</f>
        <v>Machine Tool Cutting Setters, Operators, and Tenders, Metal and Plastic</v>
      </c>
    </row>
    <row r="1200" spans="2:11" ht="38.25" x14ac:dyDescent="0.25">
      <c r="D1200" s="5" t="s">
        <v>2171</v>
      </c>
      <c r="E1200" s="5" t="s">
        <v>2172</v>
      </c>
      <c r="F12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0" s="2" t="str">
        <f>IF(Table1[[#This Row],[Type]]="Major",Table1[[#This Row],[Major Group]],G1199)</f>
        <v>51-0000</v>
      </c>
      <c r="H1200" s="2" t="str">
        <f>IF(Table1[[#This Row],[Major Group]]&lt;&gt;"","n/a",IF(Table1[[#This Row],[Minor Group]]&lt;&gt;"",Table1[[#This Row],[Minor Group]],H1199))</f>
        <v>51-4000</v>
      </c>
      <c r="I1200" s="2" t="str">
        <f>IF(Table1[[#This Row],[Major Group]]&lt;&gt;"","n/a",IF(Table1[[#This Row],[Minor Group]]&lt;&gt;"","n/a",IF(Table1[[#This Row],[Broad Group]]&lt;&gt;"",Table1[[#This Row],[Broad Group]],I1199)))</f>
        <v>51-4030</v>
      </c>
      <c r="J12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Occupation]],J1199))))</f>
        <v>51-4031</v>
      </c>
      <c r="K1200" s="2" t="str">
        <f>Table1[[#This Row],[Group Name]]</f>
        <v>Cutting, Punching, and Press Machine Setters, Operators, and Tenders, Metal and Plastic</v>
      </c>
    </row>
    <row r="1201" spans="3:11" ht="38.25" x14ac:dyDescent="0.25">
      <c r="D1201" s="5" t="s">
        <v>2173</v>
      </c>
      <c r="E1201" s="5" t="s">
        <v>2174</v>
      </c>
      <c r="F12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1" s="2" t="str">
        <f>IF(Table1[[#This Row],[Type]]="Major",Table1[[#This Row],[Major Group]],G1200)</f>
        <v>51-0000</v>
      </c>
      <c r="H1201" s="2" t="str">
        <f>IF(Table1[[#This Row],[Major Group]]&lt;&gt;"","n/a",IF(Table1[[#This Row],[Minor Group]]&lt;&gt;"",Table1[[#This Row],[Minor Group]],H1200))</f>
        <v>51-4000</v>
      </c>
      <c r="I1201" s="2" t="str">
        <f>IF(Table1[[#This Row],[Major Group]]&lt;&gt;"","n/a",IF(Table1[[#This Row],[Minor Group]]&lt;&gt;"","n/a",IF(Table1[[#This Row],[Broad Group]]&lt;&gt;"",Table1[[#This Row],[Broad Group]],I1200)))</f>
        <v>51-4030</v>
      </c>
      <c r="J12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Occupation]],J1200))))</f>
        <v>51-4032</v>
      </c>
      <c r="K1201" s="2" t="str">
        <f>Table1[[#This Row],[Group Name]]</f>
        <v>Drilling and Boring Machine Tool Setters, Operators, and Tenders, Metal and Plastic</v>
      </c>
    </row>
    <row r="1202" spans="3:11" ht="51" x14ac:dyDescent="0.25">
      <c r="D1202" s="5" t="s">
        <v>2175</v>
      </c>
      <c r="E1202" s="5" t="s">
        <v>2176</v>
      </c>
      <c r="F12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2" s="2" t="str">
        <f>IF(Table1[[#This Row],[Type]]="Major",Table1[[#This Row],[Major Group]],G1201)</f>
        <v>51-0000</v>
      </c>
      <c r="H1202" s="2" t="str">
        <f>IF(Table1[[#This Row],[Major Group]]&lt;&gt;"","n/a",IF(Table1[[#This Row],[Minor Group]]&lt;&gt;"",Table1[[#This Row],[Minor Group]],H1201))</f>
        <v>51-4000</v>
      </c>
      <c r="I1202" s="2" t="str">
        <f>IF(Table1[[#This Row],[Major Group]]&lt;&gt;"","n/a",IF(Table1[[#This Row],[Minor Group]]&lt;&gt;"","n/a",IF(Table1[[#This Row],[Broad Group]]&lt;&gt;"",Table1[[#This Row],[Broad Group]],I1201)))</f>
        <v>51-4030</v>
      </c>
      <c r="J12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Occupation]],J1201))))</f>
        <v>51-4033</v>
      </c>
      <c r="K1202" s="2" t="str">
        <f>Table1[[#This Row],[Group Name]]</f>
        <v>Grinding, Lapping, Polishing, and Buffing Machine Tool Setters, Operators, and Tenders, Metal and Plastic</v>
      </c>
    </row>
    <row r="1203" spans="3:11" ht="38.25" x14ac:dyDescent="0.25">
      <c r="D1203" s="5" t="s">
        <v>2177</v>
      </c>
      <c r="E1203" s="5" t="s">
        <v>2178</v>
      </c>
      <c r="F12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3" s="2" t="str">
        <f>IF(Table1[[#This Row],[Type]]="Major",Table1[[#This Row],[Major Group]],G1202)</f>
        <v>51-0000</v>
      </c>
      <c r="H1203" s="2" t="str">
        <f>IF(Table1[[#This Row],[Major Group]]&lt;&gt;"","n/a",IF(Table1[[#This Row],[Minor Group]]&lt;&gt;"",Table1[[#This Row],[Minor Group]],H1202))</f>
        <v>51-4000</v>
      </c>
      <c r="I1203" s="2" t="str">
        <f>IF(Table1[[#This Row],[Major Group]]&lt;&gt;"","n/a",IF(Table1[[#This Row],[Minor Group]]&lt;&gt;"","n/a",IF(Table1[[#This Row],[Broad Group]]&lt;&gt;"",Table1[[#This Row],[Broad Group]],I1202)))</f>
        <v>51-4030</v>
      </c>
      <c r="J12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Occupation]],J1202))))</f>
        <v>51-4034</v>
      </c>
      <c r="K1203" s="2" t="str">
        <f>Table1[[#This Row],[Group Name]]</f>
        <v>Lathe and Turning Machine Tool Setters, Operators, and Tenders, Metal and Plastic</v>
      </c>
    </row>
    <row r="1204" spans="3:11" ht="38.25" x14ac:dyDescent="0.25">
      <c r="D1204" s="5" t="s">
        <v>2179</v>
      </c>
      <c r="E1204" s="5" t="s">
        <v>2180</v>
      </c>
      <c r="F12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4" s="2" t="str">
        <f>IF(Table1[[#This Row],[Type]]="Major",Table1[[#This Row],[Major Group]],G1203)</f>
        <v>51-0000</v>
      </c>
      <c r="H1204" s="2" t="str">
        <f>IF(Table1[[#This Row],[Major Group]]&lt;&gt;"","n/a",IF(Table1[[#This Row],[Minor Group]]&lt;&gt;"",Table1[[#This Row],[Minor Group]],H1203))</f>
        <v>51-4000</v>
      </c>
      <c r="I1204" s="2" t="str">
        <f>IF(Table1[[#This Row],[Major Group]]&lt;&gt;"","n/a",IF(Table1[[#This Row],[Minor Group]]&lt;&gt;"","n/a",IF(Table1[[#This Row],[Broad Group]]&lt;&gt;"",Table1[[#This Row],[Broad Group]],I1203)))</f>
        <v>51-4030</v>
      </c>
      <c r="J12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Occupation]],J1203))))</f>
        <v>51-4035</v>
      </c>
      <c r="K1204" s="2" t="str">
        <f>Table1[[#This Row],[Group Name]]</f>
        <v>Milling and Planing Machine Setters, Operators, and Tenders, Metal and Plastic</v>
      </c>
    </row>
    <row r="1205" spans="3:11" x14ac:dyDescent="0.25">
      <c r="C1205" s="1" t="s">
        <v>2181</v>
      </c>
      <c r="E1205" s="1" t="s">
        <v>2182</v>
      </c>
      <c r="F12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05" s="2" t="str">
        <f>IF(Table1[[#This Row],[Type]]="Major",Table1[[#This Row],[Major Group]],G1204)</f>
        <v>51-0000</v>
      </c>
      <c r="H1205" s="2" t="str">
        <f>IF(Table1[[#This Row],[Major Group]]&lt;&gt;"","n/a",IF(Table1[[#This Row],[Minor Group]]&lt;&gt;"",Table1[[#This Row],[Minor Group]],H1204))</f>
        <v>51-4000</v>
      </c>
      <c r="I1205" s="2" t="str">
        <f>IF(Table1[[#This Row],[Major Group]]&lt;&gt;"","n/a",IF(Table1[[#This Row],[Minor Group]]&lt;&gt;"","n/a",IF(Table1[[#This Row],[Broad Group]]&lt;&gt;"",Table1[[#This Row],[Broad Group]],I1204)))</f>
        <v>51-4040</v>
      </c>
      <c r="J12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Occupation]],J1204))))</f>
        <v>n/a</v>
      </c>
      <c r="K1205" s="2" t="str">
        <f>Table1[[#This Row],[Group Name]]</f>
        <v>Machinists</v>
      </c>
    </row>
    <row r="1206" spans="3:11" x14ac:dyDescent="0.25">
      <c r="D1206" s="5" t="s">
        <v>2183</v>
      </c>
      <c r="E1206" s="5" t="s">
        <v>2182</v>
      </c>
      <c r="F12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6" s="2" t="str">
        <f>IF(Table1[[#This Row],[Type]]="Major",Table1[[#This Row],[Major Group]],G1205)</f>
        <v>51-0000</v>
      </c>
      <c r="H1206" s="2" t="str">
        <f>IF(Table1[[#This Row],[Major Group]]&lt;&gt;"","n/a",IF(Table1[[#This Row],[Minor Group]]&lt;&gt;"",Table1[[#This Row],[Minor Group]],H1205))</f>
        <v>51-4000</v>
      </c>
      <c r="I1206" s="2" t="str">
        <f>IF(Table1[[#This Row],[Major Group]]&lt;&gt;"","n/a",IF(Table1[[#This Row],[Minor Group]]&lt;&gt;"","n/a",IF(Table1[[#This Row],[Broad Group]]&lt;&gt;"",Table1[[#This Row],[Broad Group]],I1205)))</f>
        <v>51-4040</v>
      </c>
      <c r="J12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Occupation]],J1205))))</f>
        <v>51-4041</v>
      </c>
      <c r="K1206" s="2" t="str">
        <f>Table1[[#This Row],[Group Name]]</f>
        <v>Machinists</v>
      </c>
    </row>
    <row r="1207" spans="3:11" ht="30" x14ac:dyDescent="0.25">
      <c r="C1207" s="1" t="s">
        <v>2184</v>
      </c>
      <c r="E1207" s="1" t="s">
        <v>2185</v>
      </c>
      <c r="F12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07" s="2" t="str">
        <f>IF(Table1[[#This Row],[Type]]="Major",Table1[[#This Row],[Major Group]],G1206)</f>
        <v>51-0000</v>
      </c>
      <c r="H1207" s="2" t="str">
        <f>IF(Table1[[#This Row],[Major Group]]&lt;&gt;"","n/a",IF(Table1[[#This Row],[Minor Group]]&lt;&gt;"",Table1[[#This Row],[Minor Group]],H1206))</f>
        <v>51-4000</v>
      </c>
      <c r="I1207" s="2" t="str">
        <f>IF(Table1[[#This Row],[Major Group]]&lt;&gt;"","n/a",IF(Table1[[#This Row],[Minor Group]]&lt;&gt;"","n/a",IF(Table1[[#This Row],[Broad Group]]&lt;&gt;"",Table1[[#This Row],[Broad Group]],I1206)))</f>
        <v>51-4050</v>
      </c>
      <c r="J12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Occupation]],J1206))))</f>
        <v>n/a</v>
      </c>
      <c r="K1207" s="2" t="str">
        <f>Table1[[#This Row],[Group Name]]</f>
        <v>Metal Furnace Operators, Tenders, Pourers, and Casters</v>
      </c>
    </row>
    <row r="1208" spans="3:11" ht="25.5" x14ac:dyDescent="0.25">
      <c r="D1208" s="5" t="s">
        <v>2186</v>
      </c>
      <c r="E1208" s="5" t="s">
        <v>2187</v>
      </c>
      <c r="F12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8" s="2" t="str">
        <f>IF(Table1[[#This Row],[Type]]="Major",Table1[[#This Row],[Major Group]],G1207)</f>
        <v>51-0000</v>
      </c>
      <c r="H1208" s="2" t="str">
        <f>IF(Table1[[#This Row],[Major Group]]&lt;&gt;"","n/a",IF(Table1[[#This Row],[Minor Group]]&lt;&gt;"",Table1[[#This Row],[Minor Group]],H1207))</f>
        <v>51-4000</v>
      </c>
      <c r="I1208" s="2" t="str">
        <f>IF(Table1[[#This Row],[Major Group]]&lt;&gt;"","n/a",IF(Table1[[#This Row],[Minor Group]]&lt;&gt;"","n/a",IF(Table1[[#This Row],[Broad Group]]&lt;&gt;"",Table1[[#This Row],[Broad Group]],I1207)))</f>
        <v>51-4050</v>
      </c>
      <c r="J12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Occupation]],J1207))))</f>
        <v>51-4051</v>
      </c>
      <c r="K1208" s="2" t="str">
        <f>Table1[[#This Row],[Group Name]]</f>
        <v>Metal-Refining Furnace Operators and Tenders</v>
      </c>
    </row>
    <row r="1209" spans="3:11" x14ac:dyDescent="0.25">
      <c r="D1209" s="5" t="s">
        <v>2188</v>
      </c>
      <c r="E1209" s="5" t="s">
        <v>2189</v>
      </c>
      <c r="F12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09" s="2" t="str">
        <f>IF(Table1[[#This Row],[Type]]="Major",Table1[[#This Row],[Major Group]],G1208)</f>
        <v>51-0000</v>
      </c>
      <c r="H1209" s="2" t="str">
        <f>IF(Table1[[#This Row],[Major Group]]&lt;&gt;"","n/a",IF(Table1[[#This Row],[Minor Group]]&lt;&gt;"",Table1[[#This Row],[Minor Group]],H1208))</f>
        <v>51-4000</v>
      </c>
      <c r="I1209" s="2" t="str">
        <f>IF(Table1[[#This Row],[Major Group]]&lt;&gt;"","n/a",IF(Table1[[#This Row],[Minor Group]]&lt;&gt;"","n/a",IF(Table1[[#This Row],[Broad Group]]&lt;&gt;"",Table1[[#This Row],[Broad Group]],I1208)))</f>
        <v>51-4050</v>
      </c>
      <c r="J12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Occupation]],J1208))))</f>
        <v>51-4052</v>
      </c>
      <c r="K1209" s="2" t="str">
        <f>Table1[[#This Row],[Group Name]]</f>
        <v>Pourers and Casters, Metal</v>
      </c>
    </row>
    <row r="1210" spans="3:11" ht="30" x14ac:dyDescent="0.25">
      <c r="C1210" s="1" t="s">
        <v>2190</v>
      </c>
      <c r="E1210" s="1" t="s">
        <v>2191</v>
      </c>
      <c r="F12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10" s="2" t="str">
        <f>IF(Table1[[#This Row],[Type]]="Major",Table1[[#This Row],[Major Group]],G1209)</f>
        <v>51-0000</v>
      </c>
      <c r="H1210" s="2" t="str">
        <f>IF(Table1[[#This Row],[Major Group]]&lt;&gt;"","n/a",IF(Table1[[#This Row],[Minor Group]]&lt;&gt;"",Table1[[#This Row],[Minor Group]],H1209))</f>
        <v>51-4000</v>
      </c>
      <c r="I1210" s="2" t="str">
        <f>IF(Table1[[#This Row],[Major Group]]&lt;&gt;"","n/a",IF(Table1[[#This Row],[Minor Group]]&lt;&gt;"","n/a",IF(Table1[[#This Row],[Broad Group]]&lt;&gt;"",Table1[[#This Row],[Broad Group]],I1209)))</f>
        <v>51-4060</v>
      </c>
      <c r="J12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Occupation]],J1209))))</f>
        <v>n/a</v>
      </c>
      <c r="K1210" s="2" t="str">
        <f>Table1[[#This Row],[Group Name]]</f>
        <v>Model Makers and Patternmakers, Metal and Plastic</v>
      </c>
    </row>
    <row r="1211" spans="3:11" x14ac:dyDescent="0.25">
      <c r="D1211" s="5" t="s">
        <v>2192</v>
      </c>
      <c r="E1211" s="5" t="s">
        <v>2193</v>
      </c>
      <c r="F12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11" s="2" t="str">
        <f>IF(Table1[[#This Row],[Type]]="Major",Table1[[#This Row],[Major Group]],G1210)</f>
        <v>51-0000</v>
      </c>
      <c r="H1211" s="2" t="str">
        <f>IF(Table1[[#This Row],[Major Group]]&lt;&gt;"","n/a",IF(Table1[[#This Row],[Minor Group]]&lt;&gt;"",Table1[[#This Row],[Minor Group]],H1210))</f>
        <v>51-4000</v>
      </c>
      <c r="I1211" s="2" t="str">
        <f>IF(Table1[[#This Row],[Major Group]]&lt;&gt;"","n/a",IF(Table1[[#This Row],[Minor Group]]&lt;&gt;"","n/a",IF(Table1[[#This Row],[Broad Group]]&lt;&gt;"",Table1[[#This Row],[Broad Group]],I1210)))</f>
        <v>51-4060</v>
      </c>
      <c r="J12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Occupation]],J1210))))</f>
        <v>51-4061</v>
      </c>
      <c r="K1211" s="2" t="str">
        <f>Table1[[#This Row],[Group Name]]</f>
        <v>Model Makers, Metal and Plastic</v>
      </c>
    </row>
    <row r="1212" spans="3:11" x14ac:dyDescent="0.25">
      <c r="D1212" s="5" t="s">
        <v>2194</v>
      </c>
      <c r="E1212" s="5" t="s">
        <v>2195</v>
      </c>
      <c r="F12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12" s="2" t="str">
        <f>IF(Table1[[#This Row],[Type]]="Major",Table1[[#This Row],[Major Group]],G1211)</f>
        <v>51-0000</v>
      </c>
      <c r="H1212" s="2" t="str">
        <f>IF(Table1[[#This Row],[Major Group]]&lt;&gt;"","n/a",IF(Table1[[#This Row],[Minor Group]]&lt;&gt;"",Table1[[#This Row],[Minor Group]],H1211))</f>
        <v>51-4000</v>
      </c>
      <c r="I1212" s="2" t="str">
        <f>IF(Table1[[#This Row],[Major Group]]&lt;&gt;"","n/a",IF(Table1[[#This Row],[Minor Group]]&lt;&gt;"","n/a",IF(Table1[[#This Row],[Broad Group]]&lt;&gt;"",Table1[[#This Row],[Broad Group]],I1211)))</f>
        <v>51-4060</v>
      </c>
      <c r="J12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Occupation]],J1211))))</f>
        <v>51-4062</v>
      </c>
      <c r="K1212" s="2" t="str">
        <f>Table1[[#This Row],[Group Name]]</f>
        <v>Patternmakers, Metal and Plastic</v>
      </c>
    </row>
    <row r="1213" spans="3:11" ht="45" x14ac:dyDescent="0.25">
      <c r="C1213" s="1" t="s">
        <v>2196</v>
      </c>
      <c r="E1213" s="1" t="s">
        <v>2197</v>
      </c>
      <c r="F12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13" s="2" t="str">
        <f>IF(Table1[[#This Row],[Type]]="Major",Table1[[#This Row],[Major Group]],G1212)</f>
        <v>51-0000</v>
      </c>
      <c r="H1213" s="2" t="str">
        <f>IF(Table1[[#This Row],[Major Group]]&lt;&gt;"","n/a",IF(Table1[[#This Row],[Minor Group]]&lt;&gt;"",Table1[[#This Row],[Minor Group]],H1212))</f>
        <v>51-4000</v>
      </c>
      <c r="I1213" s="2" t="str">
        <f>IF(Table1[[#This Row],[Major Group]]&lt;&gt;"","n/a",IF(Table1[[#This Row],[Minor Group]]&lt;&gt;"","n/a",IF(Table1[[#This Row],[Broad Group]]&lt;&gt;"",Table1[[#This Row],[Broad Group]],I1212)))</f>
        <v>51-4070</v>
      </c>
      <c r="J12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Occupation]],J1212))))</f>
        <v>n/a</v>
      </c>
      <c r="K1213" s="2" t="str">
        <f>Table1[[#This Row],[Group Name]]</f>
        <v>Molders and Molding Machine Setters, Operators, and Tenders, Metal and Plastic</v>
      </c>
    </row>
    <row r="1214" spans="3:11" x14ac:dyDescent="0.25">
      <c r="D1214" s="5" t="s">
        <v>2198</v>
      </c>
      <c r="E1214" s="5" t="s">
        <v>2199</v>
      </c>
      <c r="F12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14" s="2" t="str">
        <f>IF(Table1[[#This Row],[Type]]="Major",Table1[[#This Row],[Major Group]],G1213)</f>
        <v>51-0000</v>
      </c>
      <c r="H1214" s="2" t="str">
        <f>IF(Table1[[#This Row],[Major Group]]&lt;&gt;"","n/a",IF(Table1[[#This Row],[Minor Group]]&lt;&gt;"",Table1[[#This Row],[Minor Group]],H1213))</f>
        <v>51-4000</v>
      </c>
      <c r="I1214" s="2" t="str">
        <f>IF(Table1[[#This Row],[Major Group]]&lt;&gt;"","n/a",IF(Table1[[#This Row],[Minor Group]]&lt;&gt;"","n/a",IF(Table1[[#This Row],[Broad Group]]&lt;&gt;"",Table1[[#This Row],[Broad Group]],I1213)))</f>
        <v>51-4070</v>
      </c>
      <c r="J12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Occupation]],J1213))))</f>
        <v>51-4071</v>
      </c>
      <c r="K1214" s="2" t="str">
        <f>Table1[[#This Row],[Group Name]]</f>
        <v>Foundry Mold and Coremakers</v>
      </c>
    </row>
    <row r="1215" spans="3:11" ht="38.25" x14ac:dyDescent="0.25">
      <c r="D1215" s="5" t="s">
        <v>2200</v>
      </c>
      <c r="E1215" s="5" t="s">
        <v>2201</v>
      </c>
      <c r="F12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15" s="2" t="str">
        <f>IF(Table1[[#This Row],[Type]]="Major",Table1[[#This Row],[Major Group]],G1214)</f>
        <v>51-0000</v>
      </c>
      <c r="H1215" s="2" t="str">
        <f>IF(Table1[[#This Row],[Major Group]]&lt;&gt;"","n/a",IF(Table1[[#This Row],[Minor Group]]&lt;&gt;"",Table1[[#This Row],[Minor Group]],H1214))</f>
        <v>51-4000</v>
      </c>
      <c r="I1215" s="2" t="str">
        <f>IF(Table1[[#This Row],[Major Group]]&lt;&gt;"","n/a",IF(Table1[[#This Row],[Minor Group]]&lt;&gt;"","n/a",IF(Table1[[#This Row],[Broad Group]]&lt;&gt;"",Table1[[#This Row],[Broad Group]],I1214)))</f>
        <v>51-4070</v>
      </c>
      <c r="J12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Occupation]],J1214))))</f>
        <v>51-4072</v>
      </c>
      <c r="K1215" s="2" t="str">
        <f>Table1[[#This Row],[Group Name]]</f>
        <v>Molding, Coremaking, and Casting Machine Setters, Operators, and Tenders, Metal and Plastic</v>
      </c>
    </row>
    <row r="1216" spans="3:11" ht="45" x14ac:dyDescent="0.25">
      <c r="C1216" s="1" t="s">
        <v>2202</v>
      </c>
      <c r="E1216" s="1" t="s">
        <v>2203</v>
      </c>
      <c r="F12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16" s="2" t="str">
        <f>IF(Table1[[#This Row],[Type]]="Major",Table1[[#This Row],[Major Group]],G1215)</f>
        <v>51-0000</v>
      </c>
      <c r="H1216" s="2" t="str">
        <f>IF(Table1[[#This Row],[Major Group]]&lt;&gt;"","n/a",IF(Table1[[#This Row],[Minor Group]]&lt;&gt;"",Table1[[#This Row],[Minor Group]],H1215))</f>
        <v>51-4000</v>
      </c>
      <c r="I1216" s="2" t="str">
        <f>IF(Table1[[#This Row],[Major Group]]&lt;&gt;"","n/a",IF(Table1[[#This Row],[Minor Group]]&lt;&gt;"","n/a",IF(Table1[[#This Row],[Broad Group]]&lt;&gt;"",Table1[[#This Row],[Broad Group]],I1215)))</f>
        <v>51-4080</v>
      </c>
      <c r="J12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Occupation]],J1215))))</f>
        <v>n/a</v>
      </c>
      <c r="K1216" s="2" t="str">
        <f>Table1[[#This Row],[Group Name]]</f>
        <v>Multiple Machine Tool Setters, Operators, and Tenders, Metal and Plastic</v>
      </c>
    </row>
    <row r="1217" spans="2:11" ht="38.25" x14ac:dyDescent="0.25">
      <c r="D1217" s="5" t="s">
        <v>2204</v>
      </c>
      <c r="E1217" s="5" t="s">
        <v>2203</v>
      </c>
      <c r="F12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17" s="2" t="str">
        <f>IF(Table1[[#This Row],[Type]]="Major",Table1[[#This Row],[Major Group]],G1216)</f>
        <v>51-0000</v>
      </c>
      <c r="H1217" s="2" t="str">
        <f>IF(Table1[[#This Row],[Major Group]]&lt;&gt;"","n/a",IF(Table1[[#This Row],[Minor Group]]&lt;&gt;"",Table1[[#This Row],[Minor Group]],H1216))</f>
        <v>51-4000</v>
      </c>
      <c r="I1217" s="2" t="str">
        <f>IF(Table1[[#This Row],[Major Group]]&lt;&gt;"","n/a",IF(Table1[[#This Row],[Minor Group]]&lt;&gt;"","n/a",IF(Table1[[#This Row],[Broad Group]]&lt;&gt;"",Table1[[#This Row],[Broad Group]],I1216)))</f>
        <v>51-4080</v>
      </c>
      <c r="J12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Occupation]],J1216))))</f>
        <v>51-4081</v>
      </c>
      <c r="K1217" s="2" t="str">
        <f>Table1[[#This Row],[Group Name]]</f>
        <v>Multiple Machine Tool Setters, Operators, and Tenders, Metal and Plastic</v>
      </c>
    </row>
    <row r="1218" spans="2:11" x14ac:dyDescent="0.25">
      <c r="C1218" s="1" t="s">
        <v>2205</v>
      </c>
      <c r="E1218" s="1" t="s">
        <v>2206</v>
      </c>
      <c r="F12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18" s="2" t="str">
        <f>IF(Table1[[#This Row],[Type]]="Major",Table1[[#This Row],[Major Group]],G1217)</f>
        <v>51-0000</v>
      </c>
      <c r="H1218" s="2" t="str">
        <f>IF(Table1[[#This Row],[Major Group]]&lt;&gt;"","n/a",IF(Table1[[#This Row],[Minor Group]]&lt;&gt;"",Table1[[#This Row],[Minor Group]],H1217))</f>
        <v>51-4000</v>
      </c>
      <c r="I1218" s="2" t="str">
        <f>IF(Table1[[#This Row],[Major Group]]&lt;&gt;"","n/a",IF(Table1[[#This Row],[Minor Group]]&lt;&gt;"","n/a",IF(Table1[[#This Row],[Broad Group]]&lt;&gt;"",Table1[[#This Row],[Broad Group]],I1217)))</f>
        <v>51-4110</v>
      </c>
      <c r="J12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Occupation]],J1217))))</f>
        <v>n/a</v>
      </c>
      <c r="K1218" s="2" t="str">
        <f>Table1[[#This Row],[Group Name]]</f>
        <v>Tool and Die Makers</v>
      </c>
    </row>
    <row r="1219" spans="2:11" x14ac:dyDescent="0.25">
      <c r="D1219" s="5" t="s">
        <v>2207</v>
      </c>
      <c r="E1219" s="5" t="s">
        <v>2206</v>
      </c>
      <c r="F12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19" s="2" t="str">
        <f>IF(Table1[[#This Row],[Type]]="Major",Table1[[#This Row],[Major Group]],G1218)</f>
        <v>51-0000</v>
      </c>
      <c r="H1219" s="2" t="str">
        <f>IF(Table1[[#This Row],[Major Group]]&lt;&gt;"","n/a",IF(Table1[[#This Row],[Minor Group]]&lt;&gt;"",Table1[[#This Row],[Minor Group]],H1218))</f>
        <v>51-4000</v>
      </c>
      <c r="I1219" s="2" t="str">
        <f>IF(Table1[[#This Row],[Major Group]]&lt;&gt;"","n/a",IF(Table1[[#This Row],[Minor Group]]&lt;&gt;"","n/a",IF(Table1[[#This Row],[Broad Group]]&lt;&gt;"",Table1[[#This Row],[Broad Group]],I1218)))</f>
        <v>51-4110</v>
      </c>
      <c r="J12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Occupation]],J1218))))</f>
        <v>51-4111</v>
      </c>
      <c r="K1219" s="2" t="str">
        <f>Table1[[#This Row],[Group Name]]</f>
        <v>Tool and Die Makers</v>
      </c>
    </row>
    <row r="1220" spans="2:11" ht="30" x14ac:dyDescent="0.25">
      <c r="C1220" s="1" t="s">
        <v>2208</v>
      </c>
      <c r="E1220" s="1" t="s">
        <v>2209</v>
      </c>
      <c r="F12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20" s="2" t="str">
        <f>IF(Table1[[#This Row],[Type]]="Major",Table1[[#This Row],[Major Group]],G1219)</f>
        <v>51-0000</v>
      </c>
      <c r="H1220" s="2" t="str">
        <f>IF(Table1[[#This Row],[Major Group]]&lt;&gt;"","n/a",IF(Table1[[#This Row],[Minor Group]]&lt;&gt;"",Table1[[#This Row],[Minor Group]],H1219))</f>
        <v>51-4000</v>
      </c>
      <c r="I1220" s="2" t="str">
        <f>IF(Table1[[#This Row],[Major Group]]&lt;&gt;"","n/a",IF(Table1[[#This Row],[Minor Group]]&lt;&gt;"","n/a",IF(Table1[[#This Row],[Broad Group]]&lt;&gt;"",Table1[[#This Row],[Broad Group]],I1219)))</f>
        <v>51-4120</v>
      </c>
      <c r="J12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Occupation]],J1219))))</f>
        <v>n/a</v>
      </c>
      <c r="K1220" s="2" t="str">
        <f>Table1[[#This Row],[Group Name]]</f>
        <v>Welding, Soldering, and Brazing Workers</v>
      </c>
    </row>
    <row r="1221" spans="2:11" ht="25.5" x14ac:dyDescent="0.25">
      <c r="D1221" s="5" t="s">
        <v>2210</v>
      </c>
      <c r="E1221" s="5" t="s">
        <v>2211</v>
      </c>
      <c r="F12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1" s="2" t="str">
        <f>IF(Table1[[#This Row],[Type]]="Major",Table1[[#This Row],[Major Group]],G1220)</f>
        <v>51-0000</v>
      </c>
      <c r="H1221" s="2" t="str">
        <f>IF(Table1[[#This Row],[Major Group]]&lt;&gt;"","n/a",IF(Table1[[#This Row],[Minor Group]]&lt;&gt;"",Table1[[#This Row],[Minor Group]],H1220))</f>
        <v>51-4000</v>
      </c>
      <c r="I1221" s="2" t="str">
        <f>IF(Table1[[#This Row],[Major Group]]&lt;&gt;"","n/a",IF(Table1[[#This Row],[Minor Group]]&lt;&gt;"","n/a",IF(Table1[[#This Row],[Broad Group]]&lt;&gt;"",Table1[[#This Row],[Broad Group]],I1220)))</f>
        <v>51-4120</v>
      </c>
      <c r="J12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Occupation]],J1220))))</f>
        <v>51-4121</v>
      </c>
      <c r="K1221" s="2" t="str">
        <f>Table1[[#This Row],[Group Name]]</f>
        <v>Welders, Cutters, Solderers, and Brazers</v>
      </c>
    </row>
    <row r="1222" spans="2:11" ht="38.25" x14ac:dyDescent="0.25">
      <c r="D1222" s="5" t="s">
        <v>2212</v>
      </c>
      <c r="E1222" s="5" t="s">
        <v>2213</v>
      </c>
      <c r="F12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2" s="2" t="str">
        <f>IF(Table1[[#This Row],[Type]]="Major",Table1[[#This Row],[Major Group]],G1221)</f>
        <v>51-0000</v>
      </c>
      <c r="H1222" s="2" t="str">
        <f>IF(Table1[[#This Row],[Major Group]]&lt;&gt;"","n/a",IF(Table1[[#This Row],[Minor Group]]&lt;&gt;"",Table1[[#This Row],[Minor Group]],H1221))</f>
        <v>51-4000</v>
      </c>
      <c r="I1222" s="2" t="str">
        <f>IF(Table1[[#This Row],[Major Group]]&lt;&gt;"","n/a",IF(Table1[[#This Row],[Minor Group]]&lt;&gt;"","n/a",IF(Table1[[#This Row],[Broad Group]]&lt;&gt;"",Table1[[#This Row],[Broad Group]],I1221)))</f>
        <v>51-4120</v>
      </c>
      <c r="J12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Occupation]],J1221))))</f>
        <v>51-4122</v>
      </c>
      <c r="K1222" s="2" t="str">
        <f>Table1[[#This Row],[Group Name]]</f>
        <v>Welding, Soldering, and Brazing Machine Setters, Operators, and Tenders</v>
      </c>
    </row>
    <row r="1223" spans="2:11" ht="30" x14ac:dyDescent="0.25">
      <c r="C1223" s="1" t="s">
        <v>2214</v>
      </c>
      <c r="E1223" s="1" t="s">
        <v>2215</v>
      </c>
      <c r="F12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23" s="2" t="str">
        <f>IF(Table1[[#This Row],[Type]]="Major",Table1[[#This Row],[Major Group]],G1222)</f>
        <v>51-0000</v>
      </c>
      <c r="H1223" s="2" t="str">
        <f>IF(Table1[[#This Row],[Major Group]]&lt;&gt;"","n/a",IF(Table1[[#This Row],[Minor Group]]&lt;&gt;"",Table1[[#This Row],[Minor Group]],H1222))</f>
        <v>51-4000</v>
      </c>
      <c r="I1223" s="2" t="str">
        <f>IF(Table1[[#This Row],[Major Group]]&lt;&gt;"","n/a",IF(Table1[[#This Row],[Minor Group]]&lt;&gt;"","n/a",IF(Table1[[#This Row],[Broad Group]]&lt;&gt;"",Table1[[#This Row],[Broad Group]],I1222)))</f>
        <v>51-4190</v>
      </c>
      <c r="J12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Occupation]],J1222))))</f>
        <v>n/a</v>
      </c>
      <c r="K1223" s="2" t="str">
        <f>Table1[[#This Row],[Group Name]]</f>
        <v>Miscellaneous Metal Workers and Plastic Workers</v>
      </c>
    </row>
    <row r="1224" spans="2:11" ht="38.25" x14ac:dyDescent="0.25">
      <c r="D1224" s="5" t="s">
        <v>2216</v>
      </c>
      <c r="E1224" s="5" t="s">
        <v>2217</v>
      </c>
      <c r="F12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4" s="2" t="str">
        <f>IF(Table1[[#This Row],[Type]]="Major",Table1[[#This Row],[Major Group]],G1223)</f>
        <v>51-0000</v>
      </c>
      <c r="H1224" s="2" t="str">
        <f>IF(Table1[[#This Row],[Major Group]]&lt;&gt;"","n/a",IF(Table1[[#This Row],[Minor Group]]&lt;&gt;"",Table1[[#This Row],[Minor Group]],H1223))</f>
        <v>51-4000</v>
      </c>
      <c r="I1224" s="2" t="str">
        <f>IF(Table1[[#This Row],[Major Group]]&lt;&gt;"","n/a",IF(Table1[[#This Row],[Minor Group]]&lt;&gt;"","n/a",IF(Table1[[#This Row],[Broad Group]]&lt;&gt;"",Table1[[#This Row],[Broad Group]],I1223)))</f>
        <v>51-4190</v>
      </c>
      <c r="J12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Occupation]],J1223))))</f>
        <v>51-4191</v>
      </c>
      <c r="K1224" s="2" t="str">
        <f>Table1[[#This Row],[Group Name]]</f>
        <v>Heat Treating Equipment Setters, Operators, and Tenders, Metal and Plastic</v>
      </c>
    </row>
    <row r="1225" spans="2:11" x14ac:dyDescent="0.25">
      <c r="D1225" s="5" t="s">
        <v>2218</v>
      </c>
      <c r="E1225" s="5" t="s">
        <v>2219</v>
      </c>
      <c r="F12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5" s="2" t="str">
        <f>IF(Table1[[#This Row],[Type]]="Major",Table1[[#This Row],[Major Group]],G1224)</f>
        <v>51-0000</v>
      </c>
      <c r="H1225" s="2" t="str">
        <f>IF(Table1[[#This Row],[Major Group]]&lt;&gt;"","n/a",IF(Table1[[#This Row],[Minor Group]]&lt;&gt;"",Table1[[#This Row],[Minor Group]],H1224))</f>
        <v>51-4000</v>
      </c>
      <c r="I1225" s="2" t="str">
        <f>IF(Table1[[#This Row],[Major Group]]&lt;&gt;"","n/a",IF(Table1[[#This Row],[Minor Group]]&lt;&gt;"","n/a",IF(Table1[[#This Row],[Broad Group]]&lt;&gt;"",Table1[[#This Row],[Broad Group]],I1224)))</f>
        <v>51-4190</v>
      </c>
      <c r="J12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Occupation]],J1224))))</f>
        <v>51-4192</v>
      </c>
      <c r="K1225" s="2" t="str">
        <f>Table1[[#This Row],[Group Name]]</f>
        <v>Layout Workers, Metal and Plastic</v>
      </c>
    </row>
    <row r="1226" spans="2:11" ht="25.5" x14ac:dyDescent="0.25">
      <c r="D1226" s="5" t="s">
        <v>2220</v>
      </c>
      <c r="E1226" s="5" t="s">
        <v>2221</v>
      </c>
      <c r="F12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6" s="2" t="str">
        <f>IF(Table1[[#This Row],[Type]]="Major",Table1[[#This Row],[Major Group]],G1225)</f>
        <v>51-0000</v>
      </c>
      <c r="H1226" s="2" t="str">
        <f>IF(Table1[[#This Row],[Major Group]]&lt;&gt;"","n/a",IF(Table1[[#This Row],[Minor Group]]&lt;&gt;"",Table1[[#This Row],[Minor Group]],H1225))</f>
        <v>51-4000</v>
      </c>
      <c r="I1226" s="2" t="str">
        <f>IF(Table1[[#This Row],[Major Group]]&lt;&gt;"","n/a",IF(Table1[[#This Row],[Minor Group]]&lt;&gt;"","n/a",IF(Table1[[#This Row],[Broad Group]]&lt;&gt;"",Table1[[#This Row],[Broad Group]],I1225)))</f>
        <v>51-4190</v>
      </c>
      <c r="J12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Occupation]],J1225))))</f>
        <v>51-4193</v>
      </c>
      <c r="K1226" s="2" t="str">
        <f>Table1[[#This Row],[Group Name]]</f>
        <v>Plating Machine Setters, Operators, and Tenders, Metal and Plastic</v>
      </c>
    </row>
    <row r="1227" spans="2:11" x14ac:dyDescent="0.25">
      <c r="D1227" s="5" t="s">
        <v>2222</v>
      </c>
      <c r="E1227" s="5" t="s">
        <v>2223</v>
      </c>
      <c r="F12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7" s="2" t="str">
        <f>IF(Table1[[#This Row],[Type]]="Major",Table1[[#This Row],[Major Group]],G1226)</f>
        <v>51-0000</v>
      </c>
      <c r="H1227" s="2" t="str">
        <f>IF(Table1[[#This Row],[Major Group]]&lt;&gt;"","n/a",IF(Table1[[#This Row],[Minor Group]]&lt;&gt;"",Table1[[#This Row],[Minor Group]],H1226))</f>
        <v>51-4000</v>
      </c>
      <c r="I1227" s="2" t="str">
        <f>IF(Table1[[#This Row],[Major Group]]&lt;&gt;"","n/a",IF(Table1[[#This Row],[Minor Group]]&lt;&gt;"","n/a",IF(Table1[[#This Row],[Broad Group]]&lt;&gt;"",Table1[[#This Row],[Broad Group]],I1226)))</f>
        <v>51-4190</v>
      </c>
      <c r="J12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Occupation]],J1226))))</f>
        <v>51-4194</v>
      </c>
      <c r="K1227" s="2" t="str">
        <f>Table1[[#This Row],[Group Name]]</f>
        <v>Tool Grinders, Filers, and Sharpeners</v>
      </c>
    </row>
    <row r="1228" spans="2:11" ht="25.5" x14ac:dyDescent="0.25">
      <c r="D1228" s="5" t="s">
        <v>2224</v>
      </c>
      <c r="E1228" s="5" t="s">
        <v>2225</v>
      </c>
      <c r="F12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28" s="2" t="str">
        <f>IF(Table1[[#This Row],[Type]]="Major",Table1[[#This Row],[Major Group]],G1227)</f>
        <v>51-0000</v>
      </c>
      <c r="H1228" s="2" t="str">
        <f>IF(Table1[[#This Row],[Major Group]]&lt;&gt;"","n/a",IF(Table1[[#This Row],[Minor Group]]&lt;&gt;"",Table1[[#This Row],[Minor Group]],H1227))</f>
        <v>51-4000</v>
      </c>
      <c r="I1228" s="2" t="str">
        <f>IF(Table1[[#This Row],[Major Group]]&lt;&gt;"","n/a",IF(Table1[[#This Row],[Minor Group]]&lt;&gt;"","n/a",IF(Table1[[#This Row],[Broad Group]]&lt;&gt;"",Table1[[#This Row],[Broad Group]],I1227)))</f>
        <v>51-4190</v>
      </c>
      <c r="J12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Occupation]],J1227))))</f>
        <v>51-4199</v>
      </c>
      <c r="K1228" s="2" t="str">
        <f>Table1[[#This Row],[Group Name]]</f>
        <v>Metal Workers and Plastic Workers, All Other</v>
      </c>
    </row>
    <row r="1229" spans="2:11" x14ac:dyDescent="0.25">
      <c r="B1229" s="3" t="s">
        <v>2226</v>
      </c>
      <c r="E1229" s="3" t="s">
        <v>2227</v>
      </c>
      <c r="F12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229" s="2" t="str">
        <f>IF(Table1[[#This Row],[Type]]="Major",Table1[[#This Row],[Major Group]],G1228)</f>
        <v>51-0000</v>
      </c>
      <c r="H1229" s="2" t="str">
        <f>IF(Table1[[#This Row],[Major Group]]&lt;&gt;"","n/a",IF(Table1[[#This Row],[Minor Group]]&lt;&gt;"",Table1[[#This Row],[Minor Group]],H1228))</f>
        <v>51-5100</v>
      </c>
      <c r="I1229" s="2" t="str">
        <f>IF(Table1[[#This Row],[Major Group]]&lt;&gt;"","n/a",IF(Table1[[#This Row],[Minor Group]]&lt;&gt;"","n/a",IF(Table1[[#This Row],[Broad Group]]&lt;&gt;"",Table1[[#This Row],[Broad Group]],I1228)))</f>
        <v>n/a</v>
      </c>
      <c r="J12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Occupation]],J1228))))</f>
        <v>n/a</v>
      </c>
      <c r="K1229" s="2" t="str">
        <f>Table1[[#This Row],[Group Name]]</f>
        <v>Printing Workers</v>
      </c>
    </row>
    <row r="1230" spans="2:11" x14ac:dyDescent="0.25">
      <c r="C1230" s="1" t="s">
        <v>2228</v>
      </c>
      <c r="E1230" s="1" t="s">
        <v>2227</v>
      </c>
      <c r="F12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30" s="2" t="str">
        <f>IF(Table1[[#This Row],[Type]]="Major",Table1[[#This Row],[Major Group]],G1229)</f>
        <v>51-0000</v>
      </c>
      <c r="H1230" s="2" t="str">
        <f>IF(Table1[[#This Row],[Major Group]]&lt;&gt;"","n/a",IF(Table1[[#This Row],[Minor Group]]&lt;&gt;"",Table1[[#This Row],[Minor Group]],H1229))</f>
        <v>51-5100</v>
      </c>
      <c r="I1230" s="2" t="str">
        <f>IF(Table1[[#This Row],[Major Group]]&lt;&gt;"","n/a",IF(Table1[[#This Row],[Minor Group]]&lt;&gt;"","n/a",IF(Table1[[#This Row],[Broad Group]]&lt;&gt;"",Table1[[#This Row],[Broad Group]],I1229)))</f>
        <v>51-5110</v>
      </c>
      <c r="J12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Occupation]],J1229))))</f>
        <v>n/a</v>
      </c>
      <c r="K1230" s="2" t="str">
        <f>Table1[[#This Row],[Group Name]]</f>
        <v>Printing Workers</v>
      </c>
    </row>
    <row r="1231" spans="2:11" x14ac:dyDescent="0.25">
      <c r="D1231" s="5" t="s">
        <v>2229</v>
      </c>
      <c r="E1231" s="5" t="s">
        <v>2230</v>
      </c>
      <c r="F12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31" s="2" t="str">
        <f>IF(Table1[[#This Row],[Type]]="Major",Table1[[#This Row],[Major Group]],G1230)</f>
        <v>51-0000</v>
      </c>
      <c r="H1231" s="2" t="str">
        <f>IF(Table1[[#This Row],[Major Group]]&lt;&gt;"","n/a",IF(Table1[[#This Row],[Minor Group]]&lt;&gt;"",Table1[[#This Row],[Minor Group]],H1230))</f>
        <v>51-5100</v>
      </c>
      <c r="I1231" s="2" t="str">
        <f>IF(Table1[[#This Row],[Major Group]]&lt;&gt;"","n/a",IF(Table1[[#This Row],[Minor Group]]&lt;&gt;"","n/a",IF(Table1[[#This Row],[Broad Group]]&lt;&gt;"",Table1[[#This Row],[Broad Group]],I1230)))</f>
        <v>51-5110</v>
      </c>
      <c r="J12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Occupation]],J1230))))</f>
        <v>51-5111</v>
      </c>
      <c r="K1231" s="2" t="str">
        <f>Table1[[#This Row],[Group Name]]</f>
        <v>Prepress Technicians and Workers</v>
      </c>
    </row>
    <row r="1232" spans="2:11" x14ac:dyDescent="0.25">
      <c r="D1232" s="5" t="s">
        <v>2231</v>
      </c>
      <c r="E1232" s="5" t="s">
        <v>2232</v>
      </c>
      <c r="F12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32" s="2" t="str">
        <f>IF(Table1[[#This Row],[Type]]="Major",Table1[[#This Row],[Major Group]],G1231)</f>
        <v>51-0000</v>
      </c>
      <c r="H1232" s="2" t="str">
        <f>IF(Table1[[#This Row],[Major Group]]&lt;&gt;"","n/a",IF(Table1[[#This Row],[Minor Group]]&lt;&gt;"",Table1[[#This Row],[Minor Group]],H1231))</f>
        <v>51-5100</v>
      </c>
      <c r="I1232" s="2" t="str">
        <f>IF(Table1[[#This Row],[Major Group]]&lt;&gt;"","n/a",IF(Table1[[#This Row],[Minor Group]]&lt;&gt;"","n/a",IF(Table1[[#This Row],[Broad Group]]&lt;&gt;"",Table1[[#This Row],[Broad Group]],I1231)))</f>
        <v>51-5110</v>
      </c>
      <c r="J12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Occupation]],J1231))))</f>
        <v>51-5112</v>
      </c>
      <c r="K1232" s="2" t="str">
        <f>Table1[[#This Row],[Group Name]]</f>
        <v>Printing Press Operators</v>
      </c>
    </row>
    <row r="1233" spans="2:11" x14ac:dyDescent="0.25">
      <c r="D1233" s="5" t="s">
        <v>2233</v>
      </c>
      <c r="E1233" s="5" t="s">
        <v>2234</v>
      </c>
      <c r="F12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33" s="2" t="str">
        <f>IF(Table1[[#This Row],[Type]]="Major",Table1[[#This Row],[Major Group]],G1232)</f>
        <v>51-0000</v>
      </c>
      <c r="H1233" s="2" t="str">
        <f>IF(Table1[[#This Row],[Major Group]]&lt;&gt;"","n/a",IF(Table1[[#This Row],[Minor Group]]&lt;&gt;"",Table1[[#This Row],[Minor Group]],H1232))</f>
        <v>51-5100</v>
      </c>
      <c r="I1233" s="2" t="str">
        <f>IF(Table1[[#This Row],[Major Group]]&lt;&gt;"","n/a",IF(Table1[[#This Row],[Minor Group]]&lt;&gt;"","n/a",IF(Table1[[#This Row],[Broad Group]]&lt;&gt;"",Table1[[#This Row],[Broad Group]],I1232)))</f>
        <v>51-5110</v>
      </c>
      <c r="J12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Occupation]],J1232))))</f>
        <v>51-5113</v>
      </c>
      <c r="K1233" s="2" t="str">
        <f>Table1[[#This Row],[Group Name]]</f>
        <v>Print Binding and Finishing Workers</v>
      </c>
    </row>
    <row r="1234" spans="2:11" x14ac:dyDescent="0.25">
      <c r="B1234" s="3" t="s">
        <v>2235</v>
      </c>
      <c r="E1234" s="3" t="s">
        <v>2236</v>
      </c>
      <c r="F12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234" s="2" t="str">
        <f>IF(Table1[[#This Row],[Type]]="Major",Table1[[#This Row],[Major Group]],G1233)</f>
        <v>51-0000</v>
      </c>
      <c r="H1234" s="2" t="str">
        <f>IF(Table1[[#This Row],[Major Group]]&lt;&gt;"","n/a",IF(Table1[[#This Row],[Minor Group]]&lt;&gt;"",Table1[[#This Row],[Minor Group]],H1233))</f>
        <v>51-6000</v>
      </c>
      <c r="I1234" s="2" t="str">
        <f>IF(Table1[[#This Row],[Major Group]]&lt;&gt;"","n/a",IF(Table1[[#This Row],[Minor Group]]&lt;&gt;"","n/a",IF(Table1[[#This Row],[Broad Group]]&lt;&gt;"",Table1[[#This Row],[Broad Group]],I1233)))</f>
        <v>n/a</v>
      </c>
      <c r="J12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Occupation]],J1233))))</f>
        <v>n/a</v>
      </c>
      <c r="K1234" s="2" t="str">
        <f>Table1[[#This Row],[Group Name]]</f>
        <v>Textile, Apparel, and Furnishings Workers</v>
      </c>
    </row>
    <row r="1235" spans="2:11" x14ac:dyDescent="0.25">
      <c r="C1235" s="1" t="s">
        <v>2237</v>
      </c>
      <c r="E1235" s="1" t="s">
        <v>2238</v>
      </c>
      <c r="F12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35" s="2" t="str">
        <f>IF(Table1[[#This Row],[Type]]="Major",Table1[[#This Row],[Major Group]],G1234)</f>
        <v>51-0000</v>
      </c>
      <c r="H1235" s="2" t="str">
        <f>IF(Table1[[#This Row],[Major Group]]&lt;&gt;"","n/a",IF(Table1[[#This Row],[Minor Group]]&lt;&gt;"",Table1[[#This Row],[Minor Group]],H1234))</f>
        <v>51-6000</v>
      </c>
      <c r="I1235" s="2" t="str">
        <f>IF(Table1[[#This Row],[Major Group]]&lt;&gt;"","n/a",IF(Table1[[#This Row],[Minor Group]]&lt;&gt;"","n/a",IF(Table1[[#This Row],[Broad Group]]&lt;&gt;"",Table1[[#This Row],[Broad Group]],I1234)))</f>
        <v>51-6010</v>
      </c>
      <c r="J12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Occupation]],J1234))))</f>
        <v>n/a</v>
      </c>
      <c r="K1235" s="2" t="str">
        <f>Table1[[#This Row],[Group Name]]</f>
        <v>Laundry and Dry-Cleaning Workers</v>
      </c>
    </row>
    <row r="1236" spans="2:11" x14ac:dyDescent="0.25">
      <c r="D1236" s="5" t="s">
        <v>2239</v>
      </c>
      <c r="E1236" s="5" t="s">
        <v>2238</v>
      </c>
      <c r="F12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36" s="2" t="str">
        <f>IF(Table1[[#This Row],[Type]]="Major",Table1[[#This Row],[Major Group]],G1235)</f>
        <v>51-0000</v>
      </c>
      <c r="H1236" s="2" t="str">
        <f>IF(Table1[[#This Row],[Major Group]]&lt;&gt;"","n/a",IF(Table1[[#This Row],[Minor Group]]&lt;&gt;"",Table1[[#This Row],[Minor Group]],H1235))</f>
        <v>51-6000</v>
      </c>
      <c r="I1236" s="2" t="str">
        <f>IF(Table1[[#This Row],[Major Group]]&lt;&gt;"","n/a",IF(Table1[[#This Row],[Minor Group]]&lt;&gt;"","n/a",IF(Table1[[#This Row],[Broad Group]]&lt;&gt;"",Table1[[#This Row],[Broad Group]],I1235)))</f>
        <v>51-6010</v>
      </c>
      <c r="J12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Occupation]],J1235))))</f>
        <v>51-6011</v>
      </c>
      <c r="K1236" s="2" t="str">
        <f>Table1[[#This Row],[Group Name]]</f>
        <v>Laundry and Dry-Cleaning Workers</v>
      </c>
    </row>
    <row r="1237" spans="2:11" ht="30" x14ac:dyDescent="0.25">
      <c r="C1237" s="1" t="s">
        <v>2240</v>
      </c>
      <c r="E1237" s="1" t="s">
        <v>2241</v>
      </c>
      <c r="F12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37" s="2" t="str">
        <f>IF(Table1[[#This Row],[Type]]="Major",Table1[[#This Row],[Major Group]],G1236)</f>
        <v>51-0000</v>
      </c>
      <c r="H1237" s="2" t="str">
        <f>IF(Table1[[#This Row],[Major Group]]&lt;&gt;"","n/a",IF(Table1[[#This Row],[Minor Group]]&lt;&gt;"",Table1[[#This Row],[Minor Group]],H1236))</f>
        <v>51-6000</v>
      </c>
      <c r="I1237" s="2" t="str">
        <f>IF(Table1[[#This Row],[Major Group]]&lt;&gt;"","n/a",IF(Table1[[#This Row],[Minor Group]]&lt;&gt;"","n/a",IF(Table1[[#This Row],[Broad Group]]&lt;&gt;"",Table1[[#This Row],[Broad Group]],I1236)))</f>
        <v>51-6020</v>
      </c>
      <c r="J12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Occupation]],J1236))))</f>
        <v>n/a</v>
      </c>
      <c r="K1237" s="2" t="str">
        <f>Table1[[#This Row],[Group Name]]</f>
        <v>Pressers, Textile, Garment, and Related Materials</v>
      </c>
    </row>
    <row r="1238" spans="2:11" ht="25.5" x14ac:dyDescent="0.25">
      <c r="D1238" s="5" t="s">
        <v>2242</v>
      </c>
      <c r="E1238" s="5" t="s">
        <v>2241</v>
      </c>
      <c r="F12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38" s="2" t="str">
        <f>IF(Table1[[#This Row],[Type]]="Major",Table1[[#This Row],[Major Group]],G1237)</f>
        <v>51-0000</v>
      </c>
      <c r="H1238" s="2" t="str">
        <f>IF(Table1[[#This Row],[Major Group]]&lt;&gt;"","n/a",IF(Table1[[#This Row],[Minor Group]]&lt;&gt;"",Table1[[#This Row],[Minor Group]],H1237))</f>
        <v>51-6000</v>
      </c>
      <c r="I1238" s="2" t="str">
        <f>IF(Table1[[#This Row],[Major Group]]&lt;&gt;"","n/a",IF(Table1[[#This Row],[Minor Group]]&lt;&gt;"","n/a",IF(Table1[[#This Row],[Broad Group]]&lt;&gt;"",Table1[[#This Row],[Broad Group]],I1237)))</f>
        <v>51-6020</v>
      </c>
      <c r="J12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Occupation]],J1237))))</f>
        <v>51-6021</v>
      </c>
      <c r="K1238" s="2" t="str">
        <f>Table1[[#This Row],[Group Name]]</f>
        <v>Pressers, Textile, Garment, and Related Materials</v>
      </c>
    </row>
    <row r="1239" spans="2:11" x14ac:dyDescent="0.25">
      <c r="C1239" s="1" t="s">
        <v>2243</v>
      </c>
      <c r="E1239" s="1" t="s">
        <v>2244</v>
      </c>
      <c r="F12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39" s="2" t="str">
        <f>IF(Table1[[#This Row],[Type]]="Major",Table1[[#This Row],[Major Group]],G1238)</f>
        <v>51-0000</v>
      </c>
      <c r="H1239" s="2" t="str">
        <f>IF(Table1[[#This Row],[Major Group]]&lt;&gt;"","n/a",IF(Table1[[#This Row],[Minor Group]]&lt;&gt;"",Table1[[#This Row],[Minor Group]],H1238))</f>
        <v>51-6000</v>
      </c>
      <c r="I1239" s="2" t="str">
        <f>IF(Table1[[#This Row],[Major Group]]&lt;&gt;"","n/a",IF(Table1[[#This Row],[Minor Group]]&lt;&gt;"","n/a",IF(Table1[[#This Row],[Broad Group]]&lt;&gt;"",Table1[[#This Row],[Broad Group]],I1238)))</f>
        <v>51-6030</v>
      </c>
      <c r="J12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Occupation]],J1238))))</f>
        <v>n/a</v>
      </c>
      <c r="K1239" s="2" t="str">
        <f>Table1[[#This Row],[Group Name]]</f>
        <v>Sewing Machine Operators</v>
      </c>
    </row>
    <row r="1240" spans="2:11" x14ac:dyDescent="0.25">
      <c r="D1240" s="5" t="s">
        <v>2245</v>
      </c>
      <c r="E1240" s="5" t="s">
        <v>2244</v>
      </c>
      <c r="F12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0" s="2" t="str">
        <f>IF(Table1[[#This Row],[Type]]="Major",Table1[[#This Row],[Major Group]],G1239)</f>
        <v>51-0000</v>
      </c>
      <c r="H1240" s="2" t="str">
        <f>IF(Table1[[#This Row],[Major Group]]&lt;&gt;"","n/a",IF(Table1[[#This Row],[Minor Group]]&lt;&gt;"",Table1[[#This Row],[Minor Group]],H1239))</f>
        <v>51-6000</v>
      </c>
      <c r="I1240" s="2" t="str">
        <f>IF(Table1[[#This Row],[Major Group]]&lt;&gt;"","n/a",IF(Table1[[#This Row],[Minor Group]]&lt;&gt;"","n/a",IF(Table1[[#This Row],[Broad Group]]&lt;&gt;"",Table1[[#This Row],[Broad Group]],I1239)))</f>
        <v>51-6030</v>
      </c>
      <c r="J12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Occupation]],J1239))))</f>
        <v>51-6031</v>
      </c>
      <c r="K1240" s="2" t="str">
        <f>Table1[[#This Row],[Group Name]]</f>
        <v>Sewing Machine Operators</v>
      </c>
    </row>
    <row r="1241" spans="2:11" x14ac:dyDescent="0.25">
      <c r="C1241" s="1" t="s">
        <v>2246</v>
      </c>
      <c r="E1241" s="1" t="s">
        <v>2247</v>
      </c>
      <c r="F12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41" s="2" t="str">
        <f>IF(Table1[[#This Row],[Type]]="Major",Table1[[#This Row],[Major Group]],G1240)</f>
        <v>51-0000</v>
      </c>
      <c r="H1241" s="2" t="str">
        <f>IF(Table1[[#This Row],[Major Group]]&lt;&gt;"","n/a",IF(Table1[[#This Row],[Minor Group]]&lt;&gt;"",Table1[[#This Row],[Minor Group]],H1240))</f>
        <v>51-6000</v>
      </c>
      <c r="I1241" s="2" t="str">
        <f>IF(Table1[[#This Row],[Major Group]]&lt;&gt;"","n/a",IF(Table1[[#This Row],[Minor Group]]&lt;&gt;"","n/a",IF(Table1[[#This Row],[Broad Group]]&lt;&gt;"",Table1[[#This Row],[Broad Group]],I1240)))</f>
        <v>51-6040</v>
      </c>
      <c r="J12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Occupation]],J1240))))</f>
        <v>n/a</v>
      </c>
      <c r="K1241" s="2" t="str">
        <f>Table1[[#This Row],[Group Name]]</f>
        <v>Shoe and Leather Workers</v>
      </c>
    </row>
    <row r="1242" spans="2:11" ht="25.5" x14ac:dyDescent="0.25">
      <c r="D1242" s="5" t="s">
        <v>2248</v>
      </c>
      <c r="E1242" s="5" t="s">
        <v>2249</v>
      </c>
      <c r="F12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2" s="2" t="str">
        <f>IF(Table1[[#This Row],[Type]]="Major",Table1[[#This Row],[Major Group]],G1241)</f>
        <v>51-0000</v>
      </c>
      <c r="H1242" s="2" t="str">
        <f>IF(Table1[[#This Row],[Major Group]]&lt;&gt;"","n/a",IF(Table1[[#This Row],[Minor Group]]&lt;&gt;"",Table1[[#This Row],[Minor Group]],H1241))</f>
        <v>51-6000</v>
      </c>
      <c r="I1242" s="2" t="str">
        <f>IF(Table1[[#This Row],[Major Group]]&lt;&gt;"","n/a",IF(Table1[[#This Row],[Minor Group]]&lt;&gt;"","n/a",IF(Table1[[#This Row],[Broad Group]]&lt;&gt;"",Table1[[#This Row],[Broad Group]],I1241)))</f>
        <v>51-6040</v>
      </c>
      <c r="J12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Occupation]],J1241))))</f>
        <v>51-6041</v>
      </c>
      <c r="K1242" s="2" t="str">
        <f>Table1[[#This Row],[Group Name]]</f>
        <v>Shoe and Leather Workers and Repairers</v>
      </c>
    </row>
    <row r="1243" spans="2:11" x14ac:dyDescent="0.25">
      <c r="D1243" s="5" t="s">
        <v>2250</v>
      </c>
      <c r="E1243" s="5" t="s">
        <v>2251</v>
      </c>
      <c r="F12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3" s="2" t="str">
        <f>IF(Table1[[#This Row],[Type]]="Major",Table1[[#This Row],[Major Group]],G1242)</f>
        <v>51-0000</v>
      </c>
      <c r="H1243" s="2" t="str">
        <f>IF(Table1[[#This Row],[Major Group]]&lt;&gt;"","n/a",IF(Table1[[#This Row],[Minor Group]]&lt;&gt;"",Table1[[#This Row],[Minor Group]],H1242))</f>
        <v>51-6000</v>
      </c>
      <c r="I1243" s="2" t="str">
        <f>IF(Table1[[#This Row],[Major Group]]&lt;&gt;"","n/a",IF(Table1[[#This Row],[Minor Group]]&lt;&gt;"","n/a",IF(Table1[[#This Row],[Broad Group]]&lt;&gt;"",Table1[[#This Row],[Broad Group]],I1242)))</f>
        <v>51-6040</v>
      </c>
      <c r="J12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Occupation]],J1242))))</f>
        <v>51-6042</v>
      </c>
      <c r="K1243" s="2" t="str">
        <f>Table1[[#This Row],[Group Name]]</f>
        <v>Shoe Machine Operators and Tenders</v>
      </c>
    </row>
    <row r="1244" spans="2:11" x14ac:dyDescent="0.25">
      <c r="C1244" s="1" t="s">
        <v>2252</v>
      </c>
      <c r="E1244" s="1" t="s">
        <v>2253</v>
      </c>
      <c r="F12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44" s="2" t="str">
        <f>IF(Table1[[#This Row],[Type]]="Major",Table1[[#This Row],[Major Group]],G1243)</f>
        <v>51-0000</v>
      </c>
      <c r="H1244" s="2" t="str">
        <f>IF(Table1[[#This Row],[Major Group]]&lt;&gt;"","n/a",IF(Table1[[#This Row],[Minor Group]]&lt;&gt;"",Table1[[#This Row],[Minor Group]],H1243))</f>
        <v>51-6000</v>
      </c>
      <c r="I1244" s="2" t="str">
        <f>IF(Table1[[#This Row],[Major Group]]&lt;&gt;"","n/a",IF(Table1[[#This Row],[Minor Group]]&lt;&gt;"","n/a",IF(Table1[[#This Row],[Broad Group]]&lt;&gt;"",Table1[[#This Row],[Broad Group]],I1243)))</f>
        <v>51-6050</v>
      </c>
      <c r="J12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Occupation]],J1243))))</f>
        <v>n/a</v>
      </c>
      <c r="K1244" s="2" t="str">
        <f>Table1[[#This Row],[Group Name]]</f>
        <v>Tailors, Dressmakers, and Sewers</v>
      </c>
    </row>
    <row r="1245" spans="2:11" x14ac:dyDescent="0.25">
      <c r="D1245" s="5" t="s">
        <v>2254</v>
      </c>
      <c r="E1245" s="5" t="s">
        <v>2255</v>
      </c>
      <c r="F12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5" s="2" t="str">
        <f>IF(Table1[[#This Row],[Type]]="Major",Table1[[#This Row],[Major Group]],G1244)</f>
        <v>51-0000</v>
      </c>
      <c r="H1245" s="2" t="str">
        <f>IF(Table1[[#This Row],[Major Group]]&lt;&gt;"","n/a",IF(Table1[[#This Row],[Minor Group]]&lt;&gt;"",Table1[[#This Row],[Minor Group]],H1244))</f>
        <v>51-6000</v>
      </c>
      <c r="I1245" s="2" t="str">
        <f>IF(Table1[[#This Row],[Major Group]]&lt;&gt;"","n/a",IF(Table1[[#This Row],[Minor Group]]&lt;&gt;"","n/a",IF(Table1[[#This Row],[Broad Group]]&lt;&gt;"",Table1[[#This Row],[Broad Group]],I1244)))</f>
        <v>51-6050</v>
      </c>
      <c r="J12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Occupation]],J1244))))</f>
        <v>51-6051</v>
      </c>
      <c r="K1245" s="2" t="str">
        <f>Table1[[#This Row],[Group Name]]</f>
        <v>Sewers, Hand</v>
      </c>
    </row>
    <row r="1246" spans="2:11" ht="25.5" x14ac:dyDescent="0.25">
      <c r="D1246" s="5" t="s">
        <v>2256</v>
      </c>
      <c r="E1246" s="5" t="s">
        <v>2257</v>
      </c>
      <c r="F12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6" s="2" t="str">
        <f>IF(Table1[[#This Row],[Type]]="Major",Table1[[#This Row],[Major Group]],G1245)</f>
        <v>51-0000</v>
      </c>
      <c r="H1246" s="2" t="str">
        <f>IF(Table1[[#This Row],[Major Group]]&lt;&gt;"","n/a",IF(Table1[[#This Row],[Minor Group]]&lt;&gt;"",Table1[[#This Row],[Minor Group]],H1245))</f>
        <v>51-6000</v>
      </c>
      <c r="I1246" s="2" t="str">
        <f>IF(Table1[[#This Row],[Major Group]]&lt;&gt;"","n/a",IF(Table1[[#This Row],[Minor Group]]&lt;&gt;"","n/a",IF(Table1[[#This Row],[Broad Group]]&lt;&gt;"",Table1[[#This Row],[Broad Group]],I1245)))</f>
        <v>51-6050</v>
      </c>
      <c r="J12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Occupation]],J1245))))</f>
        <v>51-6052</v>
      </c>
      <c r="K1246" s="2" t="str">
        <f>Table1[[#This Row],[Group Name]]</f>
        <v>Tailors, Dressmakers, and Custom Sewers</v>
      </c>
    </row>
    <row r="1247" spans="2:11" ht="30" x14ac:dyDescent="0.25">
      <c r="C1247" s="1" t="s">
        <v>2258</v>
      </c>
      <c r="E1247" s="1" t="s">
        <v>2259</v>
      </c>
      <c r="F12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47" s="2" t="str">
        <f>IF(Table1[[#This Row],[Type]]="Major",Table1[[#This Row],[Major Group]],G1246)</f>
        <v>51-0000</v>
      </c>
      <c r="H1247" s="2" t="str">
        <f>IF(Table1[[#This Row],[Major Group]]&lt;&gt;"","n/a",IF(Table1[[#This Row],[Minor Group]]&lt;&gt;"",Table1[[#This Row],[Minor Group]],H1246))</f>
        <v>51-6000</v>
      </c>
      <c r="I1247" s="2" t="str">
        <f>IF(Table1[[#This Row],[Major Group]]&lt;&gt;"","n/a",IF(Table1[[#This Row],[Minor Group]]&lt;&gt;"","n/a",IF(Table1[[#This Row],[Broad Group]]&lt;&gt;"",Table1[[#This Row],[Broad Group]],I1246)))</f>
        <v>51-6060</v>
      </c>
      <c r="J12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Occupation]],J1246))))</f>
        <v>n/a</v>
      </c>
      <c r="K1247" s="2" t="str">
        <f>Table1[[#This Row],[Group Name]]</f>
        <v>Textile Machine Setters, Operators, and Tenders</v>
      </c>
    </row>
    <row r="1248" spans="2:11" ht="25.5" x14ac:dyDescent="0.25">
      <c r="D1248" s="5" t="s">
        <v>2260</v>
      </c>
      <c r="E1248" s="5" t="s">
        <v>2261</v>
      </c>
      <c r="F12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8" s="2" t="str">
        <f>IF(Table1[[#This Row],[Type]]="Major",Table1[[#This Row],[Major Group]],G1247)</f>
        <v>51-0000</v>
      </c>
      <c r="H1248" s="2" t="str">
        <f>IF(Table1[[#This Row],[Major Group]]&lt;&gt;"","n/a",IF(Table1[[#This Row],[Minor Group]]&lt;&gt;"",Table1[[#This Row],[Minor Group]],H1247))</f>
        <v>51-6000</v>
      </c>
      <c r="I1248" s="2" t="str">
        <f>IF(Table1[[#This Row],[Major Group]]&lt;&gt;"","n/a",IF(Table1[[#This Row],[Minor Group]]&lt;&gt;"","n/a",IF(Table1[[#This Row],[Broad Group]]&lt;&gt;"",Table1[[#This Row],[Broad Group]],I1247)))</f>
        <v>51-6060</v>
      </c>
      <c r="J12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Occupation]],J1247))))</f>
        <v>51-6061</v>
      </c>
      <c r="K1248" s="2" t="str">
        <f>Table1[[#This Row],[Group Name]]</f>
        <v>Textile Bleaching and Dyeing Machine Operators and Tenders</v>
      </c>
    </row>
    <row r="1249" spans="2:11" ht="25.5" x14ac:dyDescent="0.25">
      <c r="D1249" s="5" t="s">
        <v>2262</v>
      </c>
      <c r="E1249" s="5" t="s">
        <v>2263</v>
      </c>
      <c r="F12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49" s="2" t="str">
        <f>IF(Table1[[#This Row],[Type]]="Major",Table1[[#This Row],[Major Group]],G1248)</f>
        <v>51-0000</v>
      </c>
      <c r="H1249" s="2" t="str">
        <f>IF(Table1[[#This Row],[Major Group]]&lt;&gt;"","n/a",IF(Table1[[#This Row],[Minor Group]]&lt;&gt;"",Table1[[#This Row],[Minor Group]],H1248))</f>
        <v>51-6000</v>
      </c>
      <c r="I1249" s="2" t="str">
        <f>IF(Table1[[#This Row],[Major Group]]&lt;&gt;"","n/a",IF(Table1[[#This Row],[Minor Group]]&lt;&gt;"","n/a",IF(Table1[[#This Row],[Broad Group]]&lt;&gt;"",Table1[[#This Row],[Broad Group]],I1248)))</f>
        <v>51-6060</v>
      </c>
      <c r="J12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Occupation]],J1248))))</f>
        <v>51-6062</v>
      </c>
      <c r="K1249" s="2" t="str">
        <f>Table1[[#This Row],[Group Name]]</f>
        <v>Textile Cutting Machine Setters, Operators, and Tenders</v>
      </c>
    </row>
    <row r="1250" spans="2:11" ht="25.5" x14ac:dyDescent="0.25">
      <c r="D1250" s="5" t="s">
        <v>2264</v>
      </c>
      <c r="E1250" s="5" t="s">
        <v>2265</v>
      </c>
      <c r="F12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0" s="2" t="str">
        <f>IF(Table1[[#This Row],[Type]]="Major",Table1[[#This Row],[Major Group]],G1249)</f>
        <v>51-0000</v>
      </c>
      <c r="H1250" s="2" t="str">
        <f>IF(Table1[[#This Row],[Major Group]]&lt;&gt;"","n/a",IF(Table1[[#This Row],[Minor Group]]&lt;&gt;"",Table1[[#This Row],[Minor Group]],H1249))</f>
        <v>51-6000</v>
      </c>
      <c r="I1250" s="2" t="str">
        <f>IF(Table1[[#This Row],[Major Group]]&lt;&gt;"","n/a",IF(Table1[[#This Row],[Minor Group]]&lt;&gt;"","n/a",IF(Table1[[#This Row],[Broad Group]]&lt;&gt;"",Table1[[#This Row],[Broad Group]],I1249)))</f>
        <v>51-6060</v>
      </c>
      <c r="J12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Occupation]],J1249))))</f>
        <v>51-6063</v>
      </c>
      <c r="K1250" s="2" t="str">
        <f>Table1[[#This Row],[Group Name]]</f>
        <v>Textile Knitting and Weaving Machine Setters, Operators, and Tenders</v>
      </c>
    </row>
    <row r="1251" spans="2:11" ht="38.25" x14ac:dyDescent="0.25">
      <c r="D1251" s="5" t="s">
        <v>2266</v>
      </c>
      <c r="E1251" s="5" t="s">
        <v>2267</v>
      </c>
      <c r="F12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1" s="2" t="str">
        <f>IF(Table1[[#This Row],[Type]]="Major",Table1[[#This Row],[Major Group]],G1250)</f>
        <v>51-0000</v>
      </c>
      <c r="H1251" s="2" t="str">
        <f>IF(Table1[[#This Row],[Major Group]]&lt;&gt;"","n/a",IF(Table1[[#This Row],[Minor Group]]&lt;&gt;"",Table1[[#This Row],[Minor Group]],H1250))</f>
        <v>51-6000</v>
      </c>
      <c r="I1251" s="2" t="str">
        <f>IF(Table1[[#This Row],[Major Group]]&lt;&gt;"","n/a",IF(Table1[[#This Row],[Minor Group]]&lt;&gt;"","n/a",IF(Table1[[#This Row],[Broad Group]]&lt;&gt;"",Table1[[#This Row],[Broad Group]],I1250)))</f>
        <v>51-6060</v>
      </c>
      <c r="J12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Occupation]],J1250))))</f>
        <v>51-6064</v>
      </c>
      <c r="K1251" s="2" t="str">
        <f>Table1[[#This Row],[Group Name]]</f>
        <v>Textile Winding, Twisting, and Drawing Out Machine Setters, Operators, and Tenders</v>
      </c>
    </row>
    <row r="1252" spans="2:11" ht="30" x14ac:dyDescent="0.25">
      <c r="C1252" s="1" t="s">
        <v>2268</v>
      </c>
      <c r="E1252" s="1" t="s">
        <v>2269</v>
      </c>
      <c r="F12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52" s="2" t="str">
        <f>IF(Table1[[#This Row],[Type]]="Major",Table1[[#This Row],[Major Group]],G1251)</f>
        <v>51-0000</v>
      </c>
      <c r="H1252" s="2" t="str">
        <f>IF(Table1[[#This Row],[Major Group]]&lt;&gt;"","n/a",IF(Table1[[#This Row],[Minor Group]]&lt;&gt;"",Table1[[#This Row],[Minor Group]],H1251))</f>
        <v>51-6000</v>
      </c>
      <c r="I1252" s="2" t="str">
        <f>IF(Table1[[#This Row],[Major Group]]&lt;&gt;"","n/a",IF(Table1[[#This Row],[Minor Group]]&lt;&gt;"","n/a",IF(Table1[[#This Row],[Broad Group]]&lt;&gt;"",Table1[[#This Row],[Broad Group]],I1251)))</f>
        <v>51-6090</v>
      </c>
      <c r="J12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Occupation]],J1251))))</f>
        <v>n/a</v>
      </c>
      <c r="K1252" s="2" t="str">
        <f>Table1[[#This Row],[Group Name]]</f>
        <v>Miscellaneous Textile, Apparel, and Furnishings Workers</v>
      </c>
    </row>
    <row r="1253" spans="2:11" ht="38.25" x14ac:dyDescent="0.25">
      <c r="D1253" s="5" t="s">
        <v>2270</v>
      </c>
      <c r="E1253" s="5" t="s">
        <v>2271</v>
      </c>
      <c r="F12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3" s="2" t="str">
        <f>IF(Table1[[#This Row],[Type]]="Major",Table1[[#This Row],[Major Group]],G1252)</f>
        <v>51-0000</v>
      </c>
      <c r="H1253" s="2" t="str">
        <f>IF(Table1[[#This Row],[Major Group]]&lt;&gt;"","n/a",IF(Table1[[#This Row],[Minor Group]]&lt;&gt;"",Table1[[#This Row],[Minor Group]],H1252))</f>
        <v>51-6000</v>
      </c>
      <c r="I1253" s="2" t="str">
        <f>IF(Table1[[#This Row],[Major Group]]&lt;&gt;"","n/a",IF(Table1[[#This Row],[Minor Group]]&lt;&gt;"","n/a",IF(Table1[[#This Row],[Broad Group]]&lt;&gt;"",Table1[[#This Row],[Broad Group]],I1252)))</f>
        <v>51-6090</v>
      </c>
      <c r="J12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Occupation]],J1252))))</f>
        <v>51-6091</v>
      </c>
      <c r="K1253" s="2" t="str">
        <f>Table1[[#This Row],[Group Name]]</f>
        <v>Extruding and Forming Machine Setters, Operators, and Tenders, Synthetic and Glass Fibers</v>
      </c>
    </row>
    <row r="1254" spans="2:11" x14ac:dyDescent="0.25">
      <c r="D1254" s="5" t="s">
        <v>2272</v>
      </c>
      <c r="E1254" s="5" t="s">
        <v>2273</v>
      </c>
      <c r="F12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4" s="2" t="str">
        <f>IF(Table1[[#This Row],[Type]]="Major",Table1[[#This Row],[Major Group]],G1253)</f>
        <v>51-0000</v>
      </c>
      <c r="H1254" s="2" t="str">
        <f>IF(Table1[[#This Row],[Major Group]]&lt;&gt;"","n/a",IF(Table1[[#This Row],[Minor Group]]&lt;&gt;"",Table1[[#This Row],[Minor Group]],H1253))</f>
        <v>51-6000</v>
      </c>
      <c r="I1254" s="2" t="str">
        <f>IF(Table1[[#This Row],[Major Group]]&lt;&gt;"","n/a",IF(Table1[[#This Row],[Minor Group]]&lt;&gt;"","n/a",IF(Table1[[#This Row],[Broad Group]]&lt;&gt;"",Table1[[#This Row],[Broad Group]],I1253)))</f>
        <v>51-6090</v>
      </c>
      <c r="J12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Occupation]],J1253))))</f>
        <v>51-6092</v>
      </c>
      <c r="K1254" s="2" t="str">
        <f>Table1[[#This Row],[Group Name]]</f>
        <v>Fabric and Apparel Patternmakers</v>
      </c>
    </row>
    <row r="1255" spans="2:11" x14ac:dyDescent="0.25">
      <c r="D1255" s="5" t="s">
        <v>2274</v>
      </c>
      <c r="E1255" s="5" t="s">
        <v>2275</v>
      </c>
      <c r="F12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5" s="2" t="str">
        <f>IF(Table1[[#This Row],[Type]]="Major",Table1[[#This Row],[Major Group]],G1254)</f>
        <v>51-0000</v>
      </c>
      <c r="H1255" s="2" t="str">
        <f>IF(Table1[[#This Row],[Major Group]]&lt;&gt;"","n/a",IF(Table1[[#This Row],[Minor Group]]&lt;&gt;"",Table1[[#This Row],[Minor Group]],H1254))</f>
        <v>51-6000</v>
      </c>
      <c r="I1255" s="2" t="str">
        <f>IF(Table1[[#This Row],[Major Group]]&lt;&gt;"","n/a",IF(Table1[[#This Row],[Minor Group]]&lt;&gt;"","n/a",IF(Table1[[#This Row],[Broad Group]]&lt;&gt;"",Table1[[#This Row],[Broad Group]],I1254)))</f>
        <v>51-6090</v>
      </c>
      <c r="J12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Occupation]],J1254))))</f>
        <v>51-6093</v>
      </c>
      <c r="K1255" s="2" t="str">
        <f>Table1[[#This Row],[Group Name]]</f>
        <v>Upholsterers</v>
      </c>
    </row>
    <row r="1256" spans="2:11" ht="25.5" x14ac:dyDescent="0.25">
      <c r="D1256" s="5" t="s">
        <v>2276</v>
      </c>
      <c r="E1256" s="5" t="s">
        <v>2277</v>
      </c>
      <c r="F12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6" s="2" t="str">
        <f>IF(Table1[[#This Row],[Type]]="Major",Table1[[#This Row],[Major Group]],G1255)</f>
        <v>51-0000</v>
      </c>
      <c r="H1256" s="2" t="str">
        <f>IF(Table1[[#This Row],[Major Group]]&lt;&gt;"","n/a",IF(Table1[[#This Row],[Minor Group]]&lt;&gt;"",Table1[[#This Row],[Minor Group]],H1255))</f>
        <v>51-6000</v>
      </c>
      <c r="I1256" s="2" t="str">
        <f>IF(Table1[[#This Row],[Major Group]]&lt;&gt;"","n/a",IF(Table1[[#This Row],[Minor Group]]&lt;&gt;"","n/a",IF(Table1[[#This Row],[Broad Group]]&lt;&gt;"",Table1[[#This Row],[Broad Group]],I1255)))</f>
        <v>51-6090</v>
      </c>
      <c r="J12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Occupation]],J1255))))</f>
        <v>51-6099</v>
      </c>
      <c r="K1256" s="2" t="str">
        <f>Table1[[#This Row],[Group Name]]</f>
        <v>Textile, Apparel, and Furnishings Workers, All Other</v>
      </c>
    </row>
    <row r="1257" spans="2:11" x14ac:dyDescent="0.25">
      <c r="B1257" s="3" t="s">
        <v>2278</v>
      </c>
      <c r="E1257" s="3" t="s">
        <v>2279</v>
      </c>
      <c r="F12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257" s="2" t="str">
        <f>IF(Table1[[#This Row],[Type]]="Major",Table1[[#This Row],[Major Group]],G1256)</f>
        <v>51-0000</v>
      </c>
      <c r="H1257" s="2" t="str">
        <f>IF(Table1[[#This Row],[Major Group]]&lt;&gt;"","n/a",IF(Table1[[#This Row],[Minor Group]]&lt;&gt;"",Table1[[#This Row],[Minor Group]],H1256))</f>
        <v>51-7000</v>
      </c>
      <c r="I1257" s="2" t="str">
        <f>IF(Table1[[#This Row],[Major Group]]&lt;&gt;"","n/a",IF(Table1[[#This Row],[Minor Group]]&lt;&gt;"","n/a",IF(Table1[[#This Row],[Broad Group]]&lt;&gt;"",Table1[[#This Row],[Broad Group]],I1256)))</f>
        <v>n/a</v>
      </c>
      <c r="J12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Occupation]],J1256))))</f>
        <v>n/a</v>
      </c>
      <c r="K1257" s="2" t="str">
        <f>Table1[[#This Row],[Group Name]]</f>
        <v>Woodworkers</v>
      </c>
    </row>
    <row r="1258" spans="2:11" ht="30" x14ac:dyDescent="0.25">
      <c r="C1258" s="1" t="s">
        <v>2280</v>
      </c>
      <c r="E1258" s="1" t="s">
        <v>2281</v>
      </c>
      <c r="F12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58" s="2" t="str">
        <f>IF(Table1[[#This Row],[Type]]="Major",Table1[[#This Row],[Major Group]],G1257)</f>
        <v>51-0000</v>
      </c>
      <c r="H1258" s="2" t="str">
        <f>IF(Table1[[#This Row],[Major Group]]&lt;&gt;"","n/a",IF(Table1[[#This Row],[Minor Group]]&lt;&gt;"",Table1[[#This Row],[Minor Group]],H1257))</f>
        <v>51-7000</v>
      </c>
      <c r="I1258" s="2" t="str">
        <f>IF(Table1[[#This Row],[Major Group]]&lt;&gt;"","n/a",IF(Table1[[#This Row],[Minor Group]]&lt;&gt;"","n/a",IF(Table1[[#This Row],[Broad Group]]&lt;&gt;"",Table1[[#This Row],[Broad Group]],I1257)))</f>
        <v>51-7010</v>
      </c>
      <c r="J12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Occupation]],J1257))))</f>
        <v>n/a</v>
      </c>
      <c r="K1258" s="2" t="str">
        <f>Table1[[#This Row],[Group Name]]</f>
        <v>Cabinetmakers and Bench Carpenters</v>
      </c>
    </row>
    <row r="1259" spans="2:11" x14ac:dyDescent="0.25">
      <c r="D1259" s="5" t="s">
        <v>2282</v>
      </c>
      <c r="E1259" s="5" t="s">
        <v>2281</v>
      </c>
      <c r="F12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59" s="2" t="str">
        <f>IF(Table1[[#This Row],[Type]]="Major",Table1[[#This Row],[Major Group]],G1258)</f>
        <v>51-0000</v>
      </c>
      <c r="H1259" s="2" t="str">
        <f>IF(Table1[[#This Row],[Major Group]]&lt;&gt;"","n/a",IF(Table1[[#This Row],[Minor Group]]&lt;&gt;"",Table1[[#This Row],[Minor Group]],H1258))</f>
        <v>51-7000</v>
      </c>
      <c r="I1259" s="2" t="str">
        <f>IF(Table1[[#This Row],[Major Group]]&lt;&gt;"","n/a",IF(Table1[[#This Row],[Minor Group]]&lt;&gt;"","n/a",IF(Table1[[#This Row],[Broad Group]]&lt;&gt;"",Table1[[#This Row],[Broad Group]],I1258)))</f>
        <v>51-7010</v>
      </c>
      <c r="J12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Occupation]],J1258))))</f>
        <v>51-7011</v>
      </c>
      <c r="K1259" s="2" t="str">
        <f>Table1[[#This Row],[Group Name]]</f>
        <v>Cabinetmakers and Bench Carpenters</v>
      </c>
    </row>
    <row r="1260" spans="2:11" x14ac:dyDescent="0.25">
      <c r="C1260" s="1" t="s">
        <v>2283</v>
      </c>
      <c r="E1260" s="1" t="s">
        <v>2284</v>
      </c>
      <c r="F12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60" s="2" t="str">
        <f>IF(Table1[[#This Row],[Type]]="Major",Table1[[#This Row],[Major Group]],G1259)</f>
        <v>51-0000</v>
      </c>
      <c r="H1260" s="2" t="str">
        <f>IF(Table1[[#This Row],[Major Group]]&lt;&gt;"","n/a",IF(Table1[[#This Row],[Minor Group]]&lt;&gt;"",Table1[[#This Row],[Minor Group]],H1259))</f>
        <v>51-7000</v>
      </c>
      <c r="I1260" s="2" t="str">
        <f>IF(Table1[[#This Row],[Major Group]]&lt;&gt;"","n/a",IF(Table1[[#This Row],[Minor Group]]&lt;&gt;"","n/a",IF(Table1[[#This Row],[Broad Group]]&lt;&gt;"",Table1[[#This Row],[Broad Group]],I1259)))</f>
        <v>51-7020</v>
      </c>
      <c r="J12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Occupation]],J1259))))</f>
        <v>n/a</v>
      </c>
      <c r="K1260" s="2" t="str">
        <f>Table1[[#This Row],[Group Name]]</f>
        <v>Furniture Finishers</v>
      </c>
    </row>
    <row r="1261" spans="2:11" x14ac:dyDescent="0.25">
      <c r="D1261" s="5" t="s">
        <v>2285</v>
      </c>
      <c r="E1261" s="5" t="s">
        <v>2284</v>
      </c>
      <c r="F12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61" s="2" t="str">
        <f>IF(Table1[[#This Row],[Type]]="Major",Table1[[#This Row],[Major Group]],G1260)</f>
        <v>51-0000</v>
      </c>
      <c r="H1261" s="2" t="str">
        <f>IF(Table1[[#This Row],[Major Group]]&lt;&gt;"","n/a",IF(Table1[[#This Row],[Minor Group]]&lt;&gt;"",Table1[[#This Row],[Minor Group]],H1260))</f>
        <v>51-7000</v>
      </c>
      <c r="I1261" s="2" t="str">
        <f>IF(Table1[[#This Row],[Major Group]]&lt;&gt;"","n/a",IF(Table1[[#This Row],[Minor Group]]&lt;&gt;"","n/a",IF(Table1[[#This Row],[Broad Group]]&lt;&gt;"",Table1[[#This Row],[Broad Group]],I1260)))</f>
        <v>51-7020</v>
      </c>
      <c r="J12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Occupation]],J1260))))</f>
        <v>51-7021</v>
      </c>
      <c r="K1261" s="2" t="str">
        <f>Table1[[#This Row],[Group Name]]</f>
        <v>Furniture Finishers</v>
      </c>
    </row>
    <row r="1262" spans="2:11" ht="30" x14ac:dyDescent="0.25">
      <c r="C1262" s="1" t="s">
        <v>2286</v>
      </c>
      <c r="E1262" s="1" t="s">
        <v>2287</v>
      </c>
      <c r="F12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62" s="2" t="str">
        <f>IF(Table1[[#This Row],[Type]]="Major",Table1[[#This Row],[Major Group]],G1261)</f>
        <v>51-0000</v>
      </c>
      <c r="H1262" s="2" t="str">
        <f>IF(Table1[[#This Row],[Major Group]]&lt;&gt;"","n/a",IF(Table1[[#This Row],[Minor Group]]&lt;&gt;"",Table1[[#This Row],[Minor Group]],H1261))</f>
        <v>51-7000</v>
      </c>
      <c r="I1262" s="2" t="str">
        <f>IF(Table1[[#This Row],[Major Group]]&lt;&gt;"","n/a",IF(Table1[[#This Row],[Minor Group]]&lt;&gt;"","n/a",IF(Table1[[#This Row],[Broad Group]]&lt;&gt;"",Table1[[#This Row],[Broad Group]],I1261)))</f>
        <v>51-7030</v>
      </c>
      <c r="J12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Occupation]],J1261))))</f>
        <v>n/a</v>
      </c>
      <c r="K1262" s="2" t="str">
        <f>Table1[[#This Row],[Group Name]]</f>
        <v>Model Makers and Patternmakers, Wood</v>
      </c>
    </row>
    <row r="1263" spans="2:11" x14ac:dyDescent="0.25">
      <c r="D1263" s="5" t="s">
        <v>2288</v>
      </c>
      <c r="E1263" s="5" t="s">
        <v>2289</v>
      </c>
      <c r="F12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63" s="2" t="str">
        <f>IF(Table1[[#This Row],[Type]]="Major",Table1[[#This Row],[Major Group]],G1262)</f>
        <v>51-0000</v>
      </c>
      <c r="H1263" s="2" t="str">
        <f>IF(Table1[[#This Row],[Major Group]]&lt;&gt;"","n/a",IF(Table1[[#This Row],[Minor Group]]&lt;&gt;"",Table1[[#This Row],[Minor Group]],H1262))</f>
        <v>51-7000</v>
      </c>
      <c r="I1263" s="2" t="str">
        <f>IF(Table1[[#This Row],[Major Group]]&lt;&gt;"","n/a",IF(Table1[[#This Row],[Minor Group]]&lt;&gt;"","n/a",IF(Table1[[#This Row],[Broad Group]]&lt;&gt;"",Table1[[#This Row],[Broad Group]],I1262)))</f>
        <v>51-7030</v>
      </c>
      <c r="J12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Occupation]],J1262))))</f>
        <v>51-7031</v>
      </c>
      <c r="K1263" s="2" t="str">
        <f>Table1[[#This Row],[Group Name]]</f>
        <v>Model Makers, Wood</v>
      </c>
    </row>
    <row r="1264" spans="2:11" x14ac:dyDescent="0.25">
      <c r="D1264" s="5" t="s">
        <v>2290</v>
      </c>
      <c r="E1264" s="5" t="s">
        <v>2291</v>
      </c>
      <c r="F12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64" s="2" t="str">
        <f>IF(Table1[[#This Row],[Type]]="Major",Table1[[#This Row],[Major Group]],G1263)</f>
        <v>51-0000</v>
      </c>
      <c r="H1264" s="2" t="str">
        <f>IF(Table1[[#This Row],[Major Group]]&lt;&gt;"","n/a",IF(Table1[[#This Row],[Minor Group]]&lt;&gt;"",Table1[[#This Row],[Minor Group]],H1263))</f>
        <v>51-7000</v>
      </c>
      <c r="I1264" s="2" t="str">
        <f>IF(Table1[[#This Row],[Major Group]]&lt;&gt;"","n/a",IF(Table1[[#This Row],[Minor Group]]&lt;&gt;"","n/a",IF(Table1[[#This Row],[Broad Group]]&lt;&gt;"",Table1[[#This Row],[Broad Group]],I1263)))</f>
        <v>51-7030</v>
      </c>
      <c r="J12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Occupation]],J1263))))</f>
        <v>51-7032</v>
      </c>
      <c r="K1264" s="2" t="str">
        <f>Table1[[#This Row],[Group Name]]</f>
        <v>Patternmakers, Wood</v>
      </c>
    </row>
    <row r="1265" spans="2:11" ht="30" x14ac:dyDescent="0.25">
      <c r="C1265" s="1" t="s">
        <v>2292</v>
      </c>
      <c r="E1265" s="1" t="s">
        <v>2293</v>
      </c>
      <c r="F12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65" s="2" t="str">
        <f>IF(Table1[[#This Row],[Type]]="Major",Table1[[#This Row],[Major Group]],G1264)</f>
        <v>51-0000</v>
      </c>
      <c r="H1265" s="2" t="str">
        <f>IF(Table1[[#This Row],[Major Group]]&lt;&gt;"","n/a",IF(Table1[[#This Row],[Minor Group]]&lt;&gt;"",Table1[[#This Row],[Minor Group]],H1264))</f>
        <v>51-7000</v>
      </c>
      <c r="I1265" s="2" t="str">
        <f>IF(Table1[[#This Row],[Major Group]]&lt;&gt;"","n/a",IF(Table1[[#This Row],[Minor Group]]&lt;&gt;"","n/a",IF(Table1[[#This Row],[Broad Group]]&lt;&gt;"",Table1[[#This Row],[Broad Group]],I1264)))</f>
        <v>51-7040</v>
      </c>
      <c r="J12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Occupation]],J1264))))</f>
        <v>n/a</v>
      </c>
      <c r="K1265" s="2" t="str">
        <f>Table1[[#This Row],[Group Name]]</f>
        <v>Woodworking Machine Setters, Operators, and Tenders</v>
      </c>
    </row>
    <row r="1266" spans="2:11" ht="25.5" x14ac:dyDescent="0.25">
      <c r="D1266" s="5" t="s">
        <v>2294</v>
      </c>
      <c r="E1266" s="5" t="s">
        <v>2295</v>
      </c>
      <c r="F12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66" s="2" t="str">
        <f>IF(Table1[[#This Row],[Type]]="Major",Table1[[#This Row],[Major Group]],G1265)</f>
        <v>51-0000</v>
      </c>
      <c r="H1266" s="2" t="str">
        <f>IF(Table1[[#This Row],[Major Group]]&lt;&gt;"","n/a",IF(Table1[[#This Row],[Minor Group]]&lt;&gt;"",Table1[[#This Row],[Minor Group]],H1265))</f>
        <v>51-7000</v>
      </c>
      <c r="I1266" s="2" t="str">
        <f>IF(Table1[[#This Row],[Major Group]]&lt;&gt;"","n/a",IF(Table1[[#This Row],[Minor Group]]&lt;&gt;"","n/a",IF(Table1[[#This Row],[Broad Group]]&lt;&gt;"",Table1[[#This Row],[Broad Group]],I1265)))</f>
        <v>51-7040</v>
      </c>
      <c r="J12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Occupation]],J1265))))</f>
        <v>51-7041</v>
      </c>
      <c r="K1266" s="2" t="str">
        <f>Table1[[#This Row],[Group Name]]</f>
        <v>Sawing Machine Setters, Operators, and Tenders, Wood</v>
      </c>
    </row>
    <row r="1267" spans="2:11" ht="25.5" x14ac:dyDescent="0.25">
      <c r="D1267" s="5" t="s">
        <v>2296</v>
      </c>
      <c r="E1267" s="5" t="s">
        <v>2297</v>
      </c>
      <c r="F12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67" s="2" t="str">
        <f>IF(Table1[[#This Row],[Type]]="Major",Table1[[#This Row],[Major Group]],G1266)</f>
        <v>51-0000</v>
      </c>
      <c r="H1267" s="2" t="str">
        <f>IF(Table1[[#This Row],[Major Group]]&lt;&gt;"","n/a",IF(Table1[[#This Row],[Minor Group]]&lt;&gt;"",Table1[[#This Row],[Minor Group]],H1266))</f>
        <v>51-7000</v>
      </c>
      <c r="I1267" s="2" t="str">
        <f>IF(Table1[[#This Row],[Major Group]]&lt;&gt;"","n/a",IF(Table1[[#This Row],[Minor Group]]&lt;&gt;"","n/a",IF(Table1[[#This Row],[Broad Group]]&lt;&gt;"",Table1[[#This Row],[Broad Group]],I1266)))</f>
        <v>51-7040</v>
      </c>
      <c r="J12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Occupation]],J1266))))</f>
        <v>51-7042</v>
      </c>
      <c r="K1267" s="2" t="str">
        <f>Table1[[#This Row],[Group Name]]</f>
        <v>Woodworking Machine Setters, Operators, and Tenders, Except Sawing</v>
      </c>
    </row>
    <row r="1268" spans="2:11" x14ac:dyDescent="0.25">
      <c r="C1268" s="1" t="s">
        <v>2298</v>
      </c>
      <c r="E1268" s="1" t="s">
        <v>2299</v>
      </c>
      <c r="F12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68" s="2" t="str">
        <f>IF(Table1[[#This Row],[Type]]="Major",Table1[[#This Row],[Major Group]],G1267)</f>
        <v>51-0000</v>
      </c>
      <c r="H1268" s="2" t="str">
        <f>IF(Table1[[#This Row],[Major Group]]&lt;&gt;"","n/a",IF(Table1[[#This Row],[Minor Group]]&lt;&gt;"",Table1[[#This Row],[Minor Group]],H1267))</f>
        <v>51-7000</v>
      </c>
      <c r="I1268" s="2" t="str">
        <f>IF(Table1[[#This Row],[Major Group]]&lt;&gt;"","n/a",IF(Table1[[#This Row],[Minor Group]]&lt;&gt;"","n/a",IF(Table1[[#This Row],[Broad Group]]&lt;&gt;"",Table1[[#This Row],[Broad Group]],I1267)))</f>
        <v>51-7090</v>
      </c>
      <c r="J12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Occupation]],J1267))))</f>
        <v>n/a</v>
      </c>
      <c r="K1268" s="2" t="str">
        <f>Table1[[#This Row],[Group Name]]</f>
        <v>Miscellaneous Woodworkers</v>
      </c>
    </row>
    <row r="1269" spans="2:11" x14ac:dyDescent="0.25">
      <c r="D1269" s="5" t="s">
        <v>2300</v>
      </c>
      <c r="E1269" s="5" t="s">
        <v>2301</v>
      </c>
      <c r="F12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69" s="2" t="str">
        <f>IF(Table1[[#This Row],[Type]]="Major",Table1[[#This Row],[Major Group]],G1268)</f>
        <v>51-0000</v>
      </c>
      <c r="H1269" s="2" t="str">
        <f>IF(Table1[[#This Row],[Major Group]]&lt;&gt;"","n/a",IF(Table1[[#This Row],[Minor Group]]&lt;&gt;"",Table1[[#This Row],[Minor Group]],H1268))</f>
        <v>51-7000</v>
      </c>
      <c r="I1269" s="2" t="str">
        <f>IF(Table1[[#This Row],[Major Group]]&lt;&gt;"","n/a",IF(Table1[[#This Row],[Minor Group]]&lt;&gt;"","n/a",IF(Table1[[#This Row],[Broad Group]]&lt;&gt;"",Table1[[#This Row],[Broad Group]],I1268)))</f>
        <v>51-7090</v>
      </c>
      <c r="J12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Occupation]],J1268))))</f>
        <v>51-7099</v>
      </c>
      <c r="K1269" s="2" t="str">
        <f>Table1[[#This Row],[Group Name]]</f>
        <v>Woodworkers, All Other</v>
      </c>
    </row>
    <row r="1270" spans="2:11" x14ac:dyDescent="0.25">
      <c r="B1270" s="3" t="s">
        <v>2302</v>
      </c>
      <c r="E1270" s="3" t="s">
        <v>2303</v>
      </c>
      <c r="F12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270" s="2" t="str">
        <f>IF(Table1[[#This Row],[Type]]="Major",Table1[[#This Row],[Major Group]],G1269)</f>
        <v>51-0000</v>
      </c>
      <c r="H1270" s="2" t="str">
        <f>IF(Table1[[#This Row],[Major Group]]&lt;&gt;"","n/a",IF(Table1[[#This Row],[Minor Group]]&lt;&gt;"",Table1[[#This Row],[Minor Group]],H1269))</f>
        <v>51-8000</v>
      </c>
      <c r="I1270" s="2" t="str">
        <f>IF(Table1[[#This Row],[Major Group]]&lt;&gt;"","n/a",IF(Table1[[#This Row],[Minor Group]]&lt;&gt;"","n/a",IF(Table1[[#This Row],[Broad Group]]&lt;&gt;"",Table1[[#This Row],[Broad Group]],I1269)))</f>
        <v>n/a</v>
      </c>
      <c r="J12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Occupation]],J1269))))</f>
        <v>n/a</v>
      </c>
      <c r="K1270" s="2" t="str">
        <f>Table1[[#This Row],[Group Name]]</f>
        <v>Plant and System Operators</v>
      </c>
    </row>
    <row r="1271" spans="2:11" ht="30" x14ac:dyDescent="0.25">
      <c r="C1271" s="1" t="s">
        <v>2304</v>
      </c>
      <c r="E1271" s="1" t="s">
        <v>2305</v>
      </c>
      <c r="F12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71" s="2" t="str">
        <f>IF(Table1[[#This Row],[Type]]="Major",Table1[[#This Row],[Major Group]],G1270)</f>
        <v>51-0000</v>
      </c>
      <c r="H1271" s="2" t="str">
        <f>IF(Table1[[#This Row],[Major Group]]&lt;&gt;"","n/a",IF(Table1[[#This Row],[Minor Group]]&lt;&gt;"",Table1[[#This Row],[Minor Group]],H1270))</f>
        <v>51-8000</v>
      </c>
      <c r="I1271" s="2" t="str">
        <f>IF(Table1[[#This Row],[Major Group]]&lt;&gt;"","n/a",IF(Table1[[#This Row],[Minor Group]]&lt;&gt;"","n/a",IF(Table1[[#This Row],[Broad Group]]&lt;&gt;"",Table1[[#This Row],[Broad Group]],I1270)))</f>
        <v>51-8010</v>
      </c>
      <c r="J12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Occupation]],J1270))))</f>
        <v>n/a</v>
      </c>
      <c r="K1271" s="2" t="str">
        <f>Table1[[#This Row],[Group Name]]</f>
        <v>Power Plant Operators, Distributors, and Dispatchers</v>
      </c>
    </row>
    <row r="1272" spans="2:11" x14ac:dyDescent="0.25">
      <c r="D1272" s="5" t="s">
        <v>2306</v>
      </c>
      <c r="E1272" s="5" t="s">
        <v>2307</v>
      </c>
      <c r="F12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72" s="2" t="str">
        <f>IF(Table1[[#This Row],[Type]]="Major",Table1[[#This Row],[Major Group]],G1271)</f>
        <v>51-0000</v>
      </c>
      <c r="H1272" s="2" t="str">
        <f>IF(Table1[[#This Row],[Major Group]]&lt;&gt;"","n/a",IF(Table1[[#This Row],[Minor Group]]&lt;&gt;"",Table1[[#This Row],[Minor Group]],H1271))</f>
        <v>51-8000</v>
      </c>
      <c r="I1272" s="2" t="str">
        <f>IF(Table1[[#This Row],[Major Group]]&lt;&gt;"","n/a",IF(Table1[[#This Row],[Minor Group]]&lt;&gt;"","n/a",IF(Table1[[#This Row],[Broad Group]]&lt;&gt;"",Table1[[#This Row],[Broad Group]],I1271)))</f>
        <v>51-8010</v>
      </c>
      <c r="J12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Occupation]],J1271))))</f>
        <v>51-8011</v>
      </c>
      <c r="K1272" s="2" t="str">
        <f>Table1[[#This Row],[Group Name]]</f>
        <v>Nuclear Power Reactor Operators</v>
      </c>
    </row>
    <row r="1273" spans="2:11" x14ac:dyDescent="0.25">
      <c r="D1273" s="5" t="s">
        <v>2308</v>
      </c>
      <c r="E1273" s="5" t="s">
        <v>2309</v>
      </c>
      <c r="F12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73" s="2" t="str">
        <f>IF(Table1[[#This Row],[Type]]="Major",Table1[[#This Row],[Major Group]],G1272)</f>
        <v>51-0000</v>
      </c>
      <c r="H1273" s="2" t="str">
        <f>IF(Table1[[#This Row],[Major Group]]&lt;&gt;"","n/a",IF(Table1[[#This Row],[Minor Group]]&lt;&gt;"",Table1[[#This Row],[Minor Group]],H1272))</f>
        <v>51-8000</v>
      </c>
      <c r="I1273" s="2" t="str">
        <f>IF(Table1[[#This Row],[Major Group]]&lt;&gt;"","n/a",IF(Table1[[#This Row],[Minor Group]]&lt;&gt;"","n/a",IF(Table1[[#This Row],[Broad Group]]&lt;&gt;"",Table1[[#This Row],[Broad Group]],I1272)))</f>
        <v>51-8010</v>
      </c>
      <c r="J12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Occupation]],J1272))))</f>
        <v>51-8012</v>
      </c>
      <c r="K1273" s="2" t="str">
        <f>Table1[[#This Row],[Group Name]]</f>
        <v>Power Distributors and Dispatchers</v>
      </c>
    </row>
    <row r="1274" spans="2:11" x14ac:dyDescent="0.25">
      <c r="D1274" s="5" t="s">
        <v>2310</v>
      </c>
      <c r="E1274" s="5" t="s">
        <v>2311</v>
      </c>
      <c r="F12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74" s="2" t="str">
        <f>IF(Table1[[#This Row],[Type]]="Major",Table1[[#This Row],[Major Group]],G1273)</f>
        <v>51-0000</v>
      </c>
      <c r="H1274" s="2" t="str">
        <f>IF(Table1[[#This Row],[Major Group]]&lt;&gt;"","n/a",IF(Table1[[#This Row],[Minor Group]]&lt;&gt;"",Table1[[#This Row],[Minor Group]],H1273))</f>
        <v>51-8000</v>
      </c>
      <c r="I1274" s="2" t="str">
        <f>IF(Table1[[#This Row],[Major Group]]&lt;&gt;"","n/a",IF(Table1[[#This Row],[Minor Group]]&lt;&gt;"","n/a",IF(Table1[[#This Row],[Broad Group]]&lt;&gt;"",Table1[[#This Row],[Broad Group]],I1273)))</f>
        <v>51-8010</v>
      </c>
      <c r="J12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Occupation]],J1273))))</f>
        <v>51-8013</v>
      </c>
      <c r="K1274" s="2" t="str">
        <f>Table1[[#This Row],[Group Name]]</f>
        <v>Power Plant Operators</v>
      </c>
    </row>
    <row r="1275" spans="2:11" ht="30" x14ac:dyDescent="0.25">
      <c r="C1275" s="1" t="s">
        <v>2312</v>
      </c>
      <c r="E1275" s="1" t="s">
        <v>2313</v>
      </c>
      <c r="F12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75" s="2" t="str">
        <f>IF(Table1[[#This Row],[Type]]="Major",Table1[[#This Row],[Major Group]],G1274)</f>
        <v>51-0000</v>
      </c>
      <c r="H1275" s="2" t="str">
        <f>IF(Table1[[#This Row],[Major Group]]&lt;&gt;"","n/a",IF(Table1[[#This Row],[Minor Group]]&lt;&gt;"",Table1[[#This Row],[Minor Group]],H1274))</f>
        <v>51-8000</v>
      </c>
      <c r="I1275" s="2" t="str">
        <f>IF(Table1[[#This Row],[Major Group]]&lt;&gt;"","n/a",IF(Table1[[#This Row],[Minor Group]]&lt;&gt;"","n/a",IF(Table1[[#This Row],[Broad Group]]&lt;&gt;"",Table1[[#This Row],[Broad Group]],I1274)))</f>
        <v>51-8020</v>
      </c>
      <c r="J12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Occupation]],J1274))))</f>
        <v>n/a</v>
      </c>
      <c r="K1275" s="2" t="str">
        <f>Table1[[#This Row],[Group Name]]</f>
        <v>Stationary Engineers and Boiler Operators</v>
      </c>
    </row>
    <row r="1276" spans="2:11" ht="25.5" x14ac:dyDescent="0.25">
      <c r="D1276" s="5" t="s">
        <v>2314</v>
      </c>
      <c r="E1276" s="5" t="s">
        <v>2313</v>
      </c>
      <c r="F12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76" s="2" t="str">
        <f>IF(Table1[[#This Row],[Type]]="Major",Table1[[#This Row],[Major Group]],G1275)</f>
        <v>51-0000</v>
      </c>
      <c r="H1276" s="2" t="str">
        <f>IF(Table1[[#This Row],[Major Group]]&lt;&gt;"","n/a",IF(Table1[[#This Row],[Minor Group]]&lt;&gt;"",Table1[[#This Row],[Minor Group]],H1275))</f>
        <v>51-8000</v>
      </c>
      <c r="I1276" s="2" t="str">
        <f>IF(Table1[[#This Row],[Major Group]]&lt;&gt;"","n/a",IF(Table1[[#This Row],[Minor Group]]&lt;&gt;"","n/a",IF(Table1[[#This Row],[Broad Group]]&lt;&gt;"",Table1[[#This Row],[Broad Group]],I1275)))</f>
        <v>51-8020</v>
      </c>
      <c r="J12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Occupation]],J1275))))</f>
        <v>51-8021</v>
      </c>
      <c r="K1276" s="2" t="str">
        <f>Table1[[#This Row],[Group Name]]</f>
        <v>Stationary Engineers and Boiler Operators</v>
      </c>
    </row>
    <row r="1277" spans="2:11" ht="30" x14ac:dyDescent="0.25">
      <c r="C1277" s="1" t="s">
        <v>2315</v>
      </c>
      <c r="E1277" s="1" t="s">
        <v>2316</v>
      </c>
      <c r="F12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77" s="2" t="str">
        <f>IF(Table1[[#This Row],[Type]]="Major",Table1[[#This Row],[Major Group]],G1276)</f>
        <v>51-0000</v>
      </c>
      <c r="H1277" s="2" t="str">
        <f>IF(Table1[[#This Row],[Major Group]]&lt;&gt;"","n/a",IF(Table1[[#This Row],[Minor Group]]&lt;&gt;"",Table1[[#This Row],[Minor Group]],H1276))</f>
        <v>51-8000</v>
      </c>
      <c r="I1277" s="2" t="str">
        <f>IF(Table1[[#This Row],[Major Group]]&lt;&gt;"","n/a",IF(Table1[[#This Row],[Minor Group]]&lt;&gt;"","n/a",IF(Table1[[#This Row],[Broad Group]]&lt;&gt;"",Table1[[#This Row],[Broad Group]],I1276)))</f>
        <v>51-8030</v>
      </c>
      <c r="J12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Occupation]],J1276))))</f>
        <v>n/a</v>
      </c>
      <c r="K1277" s="2" t="str">
        <f>Table1[[#This Row],[Group Name]]</f>
        <v>Water and Wastewater Treatment Plant and System Operators</v>
      </c>
    </row>
    <row r="1278" spans="2:11" ht="25.5" x14ac:dyDescent="0.25">
      <c r="D1278" s="5" t="s">
        <v>2317</v>
      </c>
      <c r="E1278" s="5" t="s">
        <v>2316</v>
      </c>
      <c r="F12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78" s="2" t="str">
        <f>IF(Table1[[#This Row],[Type]]="Major",Table1[[#This Row],[Major Group]],G1277)</f>
        <v>51-0000</v>
      </c>
      <c r="H1278" s="2" t="str">
        <f>IF(Table1[[#This Row],[Major Group]]&lt;&gt;"","n/a",IF(Table1[[#This Row],[Minor Group]]&lt;&gt;"",Table1[[#This Row],[Minor Group]],H1277))</f>
        <v>51-8000</v>
      </c>
      <c r="I1278" s="2" t="str">
        <f>IF(Table1[[#This Row],[Major Group]]&lt;&gt;"","n/a",IF(Table1[[#This Row],[Minor Group]]&lt;&gt;"","n/a",IF(Table1[[#This Row],[Broad Group]]&lt;&gt;"",Table1[[#This Row],[Broad Group]],I1277)))</f>
        <v>51-8030</v>
      </c>
      <c r="J12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Occupation]],J1277))))</f>
        <v>51-8031</v>
      </c>
      <c r="K1278" s="2" t="str">
        <f>Table1[[#This Row],[Group Name]]</f>
        <v>Water and Wastewater Treatment Plant and System Operators</v>
      </c>
    </row>
    <row r="1279" spans="2:11" ht="30" x14ac:dyDescent="0.25">
      <c r="C1279" s="1" t="s">
        <v>2318</v>
      </c>
      <c r="E1279" s="1" t="s">
        <v>2319</v>
      </c>
      <c r="F12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79" s="2" t="str">
        <f>IF(Table1[[#This Row],[Type]]="Major",Table1[[#This Row],[Major Group]],G1278)</f>
        <v>51-0000</v>
      </c>
      <c r="H1279" s="2" t="str">
        <f>IF(Table1[[#This Row],[Major Group]]&lt;&gt;"","n/a",IF(Table1[[#This Row],[Minor Group]]&lt;&gt;"",Table1[[#This Row],[Minor Group]],H1278))</f>
        <v>51-8000</v>
      </c>
      <c r="I1279" s="2" t="str">
        <f>IF(Table1[[#This Row],[Major Group]]&lt;&gt;"","n/a",IF(Table1[[#This Row],[Minor Group]]&lt;&gt;"","n/a",IF(Table1[[#This Row],[Broad Group]]&lt;&gt;"",Table1[[#This Row],[Broad Group]],I1278)))</f>
        <v>51-8090</v>
      </c>
      <c r="J12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Occupation]],J1278))))</f>
        <v>n/a</v>
      </c>
      <c r="K1279" s="2" t="str">
        <f>Table1[[#This Row],[Group Name]]</f>
        <v>Miscellaneous Plant and System Operators</v>
      </c>
    </row>
    <row r="1280" spans="2:11" x14ac:dyDescent="0.25">
      <c r="D1280" s="5" t="s">
        <v>2320</v>
      </c>
      <c r="E1280" s="5" t="s">
        <v>2321</v>
      </c>
      <c r="F12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80" s="2" t="str">
        <f>IF(Table1[[#This Row],[Type]]="Major",Table1[[#This Row],[Major Group]],G1279)</f>
        <v>51-0000</v>
      </c>
      <c r="H1280" s="2" t="str">
        <f>IF(Table1[[#This Row],[Major Group]]&lt;&gt;"","n/a",IF(Table1[[#This Row],[Minor Group]]&lt;&gt;"",Table1[[#This Row],[Minor Group]],H1279))</f>
        <v>51-8000</v>
      </c>
      <c r="I1280" s="2" t="str">
        <f>IF(Table1[[#This Row],[Major Group]]&lt;&gt;"","n/a",IF(Table1[[#This Row],[Minor Group]]&lt;&gt;"","n/a",IF(Table1[[#This Row],[Broad Group]]&lt;&gt;"",Table1[[#This Row],[Broad Group]],I1279)))</f>
        <v>51-8090</v>
      </c>
      <c r="J12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Occupation]],J1279))))</f>
        <v>51-8091</v>
      </c>
      <c r="K1280" s="2" t="str">
        <f>Table1[[#This Row],[Group Name]]</f>
        <v>Chemical Plant and System Operators</v>
      </c>
    </row>
    <row r="1281" spans="2:11" x14ac:dyDescent="0.25">
      <c r="D1281" s="5" t="s">
        <v>2322</v>
      </c>
      <c r="E1281" s="5" t="s">
        <v>2323</v>
      </c>
      <c r="F12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81" s="2" t="str">
        <f>IF(Table1[[#This Row],[Type]]="Major",Table1[[#This Row],[Major Group]],G1280)</f>
        <v>51-0000</v>
      </c>
      <c r="H1281" s="2" t="str">
        <f>IF(Table1[[#This Row],[Major Group]]&lt;&gt;"","n/a",IF(Table1[[#This Row],[Minor Group]]&lt;&gt;"",Table1[[#This Row],[Minor Group]],H1280))</f>
        <v>51-8000</v>
      </c>
      <c r="I1281" s="2" t="str">
        <f>IF(Table1[[#This Row],[Major Group]]&lt;&gt;"","n/a",IF(Table1[[#This Row],[Minor Group]]&lt;&gt;"","n/a",IF(Table1[[#This Row],[Broad Group]]&lt;&gt;"",Table1[[#This Row],[Broad Group]],I1280)))</f>
        <v>51-8090</v>
      </c>
      <c r="J12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Occupation]],J1280))))</f>
        <v>51-8092</v>
      </c>
      <c r="K1281" s="2" t="str">
        <f>Table1[[#This Row],[Group Name]]</f>
        <v>Gas Plant Operators</v>
      </c>
    </row>
    <row r="1282" spans="2:11" ht="25.5" x14ac:dyDescent="0.25">
      <c r="D1282" s="5" t="s">
        <v>2324</v>
      </c>
      <c r="E1282" s="5" t="s">
        <v>2325</v>
      </c>
      <c r="F12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82" s="2" t="str">
        <f>IF(Table1[[#This Row],[Type]]="Major",Table1[[#This Row],[Major Group]],G1281)</f>
        <v>51-0000</v>
      </c>
      <c r="H1282" s="2" t="str">
        <f>IF(Table1[[#This Row],[Major Group]]&lt;&gt;"","n/a",IF(Table1[[#This Row],[Minor Group]]&lt;&gt;"",Table1[[#This Row],[Minor Group]],H1281))</f>
        <v>51-8000</v>
      </c>
      <c r="I1282" s="2" t="str">
        <f>IF(Table1[[#This Row],[Major Group]]&lt;&gt;"","n/a",IF(Table1[[#This Row],[Minor Group]]&lt;&gt;"","n/a",IF(Table1[[#This Row],[Broad Group]]&lt;&gt;"",Table1[[#This Row],[Broad Group]],I1281)))</f>
        <v>51-8090</v>
      </c>
      <c r="J12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Occupation]],J1281))))</f>
        <v>51-8093</v>
      </c>
      <c r="K1282" s="2" t="str">
        <f>Table1[[#This Row],[Group Name]]</f>
        <v>Petroleum Pump System Operators, Refinery Operators, and Gaugers</v>
      </c>
    </row>
    <row r="1283" spans="2:11" x14ac:dyDescent="0.25">
      <c r="D1283" s="5" t="s">
        <v>2326</v>
      </c>
      <c r="E1283" s="5" t="s">
        <v>2327</v>
      </c>
      <c r="F12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83" s="2" t="str">
        <f>IF(Table1[[#This Row],[Type]]="Major",Table1[[#This Row],[Major Group]],G1282)</f>
        <v>51-0000</v>
      </c>
      <c r="H1283" s="2" t="str">
        <f>IF(Table1[[#This Row],[Major Group]]&lt;&gt;"","n/a",IF(Table1[[#This Row],[Minor Group]]&lt;&gt;"",Table1[[#This Row],[Minor Group]],H1282))</f>
        <v>51-8000</v>
      </c>
      <c r="I1283" s="2" t="str">
        <f>IF(Table1[[#This Row],[Major Group]]&lt;&gt;"","n/a",IF(Table1[[#This Row],[Minor Group]]&lt;&gt;"","n/a",IF(Table1[[#This Row],[Broad Group]]&lt;&gt;"",Table1[[#This Row],[Broad Group]],I1282)))</f>
        <v>51-8090</v>
      </c>
      <c r="J12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Occupation]],J1282))))</f>
        <v>51-8099</v>
      </c>
      <c r="K1283" s="2" t="str">
        <f>Table1[[#This Row],[Group Name]]</f>
        <v>Plant and System Operators, All Other</v>
      </c>
    </row>
    <row r="1284" spans="2:11" x14ac:dyDescent="0.25">
      <c r="B1284" s="3" t="s">
        <v>2328</v>
      </c>
      <c r="E1284" s="3" t="s">
        <v>2329</v>
      </c>
      <c r="F12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284" s="2" t="str">
        <f>IF(Table1[[#This Row],[Type]]="Major",Table1[[#This Row],[Major Group]],G1283)</f>
        <v>51-0000</v>
      </c>
      <c r="H1284" s="2" t="str">
        <f>IF(Table1[[#This Row],[Major Group]]&lt;&gt;"","n/a",IF(Table1[[#This Row],[Minor Group]]&lt;&gt;"",Table1[[#This Row],[Minor Group]],H1283))</f>
        <v>51-9000</v>
      </c>
      <c r="I1284" s="2" t="str">
        <f>IF(Table1[[#This Row],[Major Group]]&lt;&gt;"","n/a",IF(Table1[[#This Row],[Minor Group]]&lt;&gt;"","n/a",IF(Table1[[#This Row],[Broad Group]]&lt;&gt;"",Table1[[#This Row],[Broad Group]],I1283)))</f>
        <v>n/a</v>
      </c>
      <c r="J12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Occupation]],J1283))))</f>
        <v>n/a</v>
      </c>
      <c r="K1284" s="2" t="str">
        <f>Table1[[#This Row],[Group Name]]</f>
        <v>Other Production Occupations</v>
      </c>
    </row>
    <row r="1285" spans="2:11" ht="30" x14ac:dyDescent="0.25">
      <c r="C1285" s="1" t="s">
        <v>2330</v>
      </c>
      <c r="E1285" s="1" t="s">
        <v>2331</v>
      </c>
      <c r="F12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85" s="2" t="str">
        <f>IF(Table1[[#This Row],[Type]]="Major",Table1[[#This Row],[Major Group]],G1284)</f>
        <v>51-0000</v>
      </c>
      <c r="H1285" s="2" t="str">
        <f>IF(Table1[[#This Row],[Major Group]]&lt;&gt;"","n/a",IF(Table1[[#This Row],[Minor Group]]&lt;&gt;"",Table1[[#This Row],[Minor Group]],H1284))</f>
        <v>51-9000</v>
      </c>
      <c r="I1285" s="2" t="str">
        <f>IF(Table1[[#This Row],[Major Group]]&lt;&gt;"","n/a",IF(Table1[[#This Row],[Minor Group]]&lt;&gt;"","n/a",IF(Table1[[#This Row],[Broad Group]]&lt;&gt;"",Table1[[#This Row],[Broad Group]],I1284)))</f>
        <v>51-9010</v>
      </c>
      <c r="J12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Occupation]],J1284))))</f>
        <v>n/a</v>
      </c>
      <c r="K1285" s="2" t="str">
        <f>Table1[[#This Row],[Group Name]]</f>
        <v>Chemical Processing Machine Setters, Operators, and Tenders</v>
      </c>
    </row>
    <row r="1286" spans="2:11" ht="25.5" x14ac:dyDescent="0.25">
      <c r="D1286" s="5" t="s">
        <v>2332</v>
      </c>
      <c r="E1286" s="5" t="s">
        <v>2333</v>
      </c>
      <c r="F12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86" s="2" t="str">
        <f>IF(Table1[[#This Row],[Type]]="Major",Table1[[#This Row],[Major Group]],G1285)</f>
        <v>51-0000</v>
      </c>
      <c r="H1286" s="2" t="str">
        <f>IF(Table1[[#This Row],[Major Group]]&lt;&gt;"","n/a",IF(Table1[[#This Row],[Minor Group]]&lt;&gt;"",Table1[[#This Row],[Minor Group]],H1285))</f>
        <v>51-9000</v>
      </c>
      <c r="I1286" s="2" t="str">
        <f>IF(Table1[[#This Row],[Major Group]]&lt;&gt;"","n/a",IF(Table1[[#This Row],[Minor Group]]&lt;&gt;"","n/a",IF(Table1[[#This Row],[Broad Group]]&lt;&gt;"",Table1[[#This Row],[Broad Group]],I1285)))</f>
        <v>51-9010</v>
      </c>
      <c r="J12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Occupation]],J1285))))</f>
        <v>51-9011</v>
      </c>
      <c r="K1286" s="2" t="str">
        <f>Table1[[#This Row],[Group Name]]</f>
        <v>Chemical Equipment Operators and Tenders</v>
      </c>
    </row>
    <row r="1287" spans="2:11" ht="38.25" x14ac:dyDescent="0.25">
      <c r="D1287" s="5" t="s">
        <v>2334</v>
      </c>
      <c r="E1287" s="5" t="s">
        <v>2335</v>
      </c>
      <c r="F12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87" s="2" t="str">
        <f>IF(Table1[[#This Row],[Type]]="Major",Table1[[#This Row],[Major Group]],G1286)</f>
        <v>51-0000</v>
      </c>
      <c r="H1287" s="2" t="str">
        <f>IF(Table1[[#This Row],[Major Group]]&lt;&gt;"","n/a",IF(Table1[[#This Row],[Minor Group]]&lt;&gt;"",Table1[[#This Row],[Minor Group]],H1286))</f>
        <v>51-9000</v>
      </c>
      <c r="I1287" s="2" t="str">
        <f>IF(Table1[[#This Row],[Major Group]]&lt;&gt;"","n/a",IF(Table1[[#This Row],[Minor Group]]&lt;&gt;"","n/a",IF(Table1[[#This Row],[Broad Group]]&lt;&gt;"",Table1[[#This Row],[Broad Group]],I1286)))</f>
        <v>51-9010</v>
      </c>
      <c r="J12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Occupation]],J1286))))</f>
        <v>51-9012</v>
      </c>
      <c r="K1287" s="2" t="str">
        <f>Table1[[#This Row],[Group Name]]</f>
        <v>Separating, Filtering, Clarifying, Precipitating, and Still Machine Setters, Operators, and Tenders</v>
      </c>
    </row>
    <row r="1288" spans="2:11" ht="30" x14ac:dyDescent="0.25">
      <c r="C1288" s="1" t="s">
        <v>2336</v>
      </c>
      <c r="E1288" s="1" t="s">
        <v>2337</v>
      </c>
      <c r="F12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88" s="2" t="str">
        <f>IF(Table1[[#This Row],[Type]]="Major",Table1[[#This Row],[Major Group]],G1287)</f>
        <v>51-0000</v>
      </c>
      <c r="H1288" s="2" t="str">
        <f>IF(Table1[[#This Row],[Major Group]]&lt;&gt;"","n/a",IF(Table1[[#This Row],[Minor Group]]&lt;&gt;"",Table1[[#This Row],[Minor Group]],H1287))</f>
        <v>51-9000</v>
      </c>
      <c r="I1288" s="2" t="str">
        <f>IF(Table1[[#This Row],[Major Group]]&lt;&gt;"","n/a",IF(Table1[[#This Row],[Minor Group]]&lt;&gt;"","n/a",IF(Table1[[#This Row],[Broad Group]]&lt;&gt;"",Table1[[#This Row],[Broad Group]],I1287)))</f>
        <v>51-9020</v>
      </c>
      <c r="J12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Occupation]],J1287))))</f>
        <v>n/a</v>
      </c>
      <c r="K1288" s="2" t="str">
        <f>Table1[[#This Row],[Group Name]]</f>
        <v>Crushing, Grinding, Polishing, Mixing, and Blending Workers</v>
      </c>
    </row>
    <row r="1289" spans="2:11" ht="38.25" x14ac:dyDescent="0.25">
      <c r="D1289" s="5" t="s">
        <v>2338</v>
      </c>
      <c r="E1289" s="5" t="s">
        <v>2339</v>
      </c>
      <c r="F12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89" s="2" t="str">
        <f>IF(Table1[[#This Row],[Type]]="Major",Table1[[#This Row],[Major Group]],G1288)</f>
        <v>51-0000</v>
      </c>
      <c r="H1289" s="2" t="str">
        <f>IF(Table1[[#This Row],[Major Group]]&lt;&gt;"","n/a",IF(Table1[[#This Row],[Minor Group]]&lt;&gt;"",Table1[[#This Row],[Minor Group]],H1288))</f>
        <v>51-9000</v>
      </c>
      <c r="I1289" s="2" t="str">
        <f>IF(Table1[[#This Row],[Major Group]]&lt;&gt;"","n/a",IF(Table1[[#This Row],[Minor Group]]&lt;&gt;"","n/a",IF(Table1[[#This Row],[Broad Group]]&lt;&gt;"",Table1[[#This Row],[Broad Group]],I1288)))</f>
        <v>51-9020</v>
      </c>
      <c r="J12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Occupation]],J1288))))</f>
        <v>51-9021</v>
      </c>
      <c r="K1289" s="2" t="str">
        <f>Table1[[#This Row],[Group Name]]</f>
        <v>Crushing, Grinding, and Polishing Machine Setters, Operators, and Tenders</v>
      </c>
    </row>
    <row r="1290" spans="2:11" x14ac:dyDescent="0.25">
      <c r="D1290" s="5" t="s">
        <v>2340</v>
      </c>
      <c r="E1290" s="5" t="s">
        <v>2341</v>
      </c>
      <c r="F12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90" s="2" t="str">
        <f>IF(Table1[[#This Row],[Type]]="Major",Table1[[#This Row],[Major Group]],G1289)</f>
        <v>51-0000</v>
      </c>
      <c r="H1290" s="2" t="str">
        <f>IF(Table1[[#This Row],[Major Group]]&lt;&gt;"","n/a",IF(Table1[[#This Row],[Minor Group]]&lt;&gt;"",Table1[[#This Row],[Minor Group]],H1289))</f>
        <v>51-9000</v>
      </c>
      <c r="I1290" s="2" t="str">
        <f>IF(Table1[[#This Row],[Major Group]]&lt;&gt;"","n/a",IF(Table1[[#This Row],[Minor Group]]&lt;&gt;"","n/a",IF(Table1[[#This Row],[Broad Group]]&lt;&gt;"",Table1[[#This Row],[Broad Group]],I1289)))</f>
        <v>51-9020</v>
      </c>
      <c r="J12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Occupation]],J1289))))</f>
        <v>51-9022</v>
      </c>
      <c r="K1290" s="2" t="str">
        <f>Table1[[#This Row],[Group Name]]</f>
        <v>Grinding and Polishing Workers, Hand</v>
      </c>
    </row>
    <row r="1291" spans="2:11" ht="25.5" x14ac:dyDescent="0.25">
      <c r="D1291" s="5" t="s">
        <v>2342</v>
      </c>
      <c r="E1291" s="5" t="s">
        <v>2343</v>
      </c>
      <c r="F12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91" s="2" t="str">
        <f>IF(Table1[[#This Row],[Type]]="Major",Table1[[#This Row],[Major Group]],G1290)</f>
        <v>51-0000</v>
      </c>
      <c r="H1291" s="2" t="str">
        <f>IF(Table1[[#This Row],[Major Group]]&lt;&gt;"","n/a",IF(Table1[[#This Row],[Minor Group]]&lt;&gt;"",Table1[[#This Row],[Minor Group]],H1290))</f>
        <v>51-9000</v>
      </c>
      <c r="I1291" s="2" t="str">
        <f>IF(Table1[[#This Row],[Major Group]]&lt;&gt;"","n/a",IF(Table1[[#This Row],[Minor Group]]&lt;&gt;"","n/a",IF(Table1[[#This Row],[Broad Group]]&lt;&gt;"",Table1[[#This Row],[Broad Group]],I1290)))</f>
        <v>51-9020</v>
      </c>
      <c r="J12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Occupation]],J1290))))</f>
        <v>51-9023</v>
      </c>
      <c r="K1291" s="2" t="str">
        <f>Table1[[#This Row],[Group Name]]</f>
        <v>Mixing and Blending Machine Setters, Operators, and Tenders</v>
      </c>
    </row>
    <row r="1292" spans="2:11" x14ac:dyDescent="0.25">
      <c r="C1292" s="1" t="s">
        <v>2344</v>
      </c>
      <c r="E1292" s="1" t="s">
        <v>2345</v>
      </c>
      <c r="F12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92" s="2" t="str">
        <f>IF(Table1[[#This Row],[Type]]="Major",Table1[[#This Row],[Major Group]],G1291)</f>
        <v>51-0000</v>
      </c>
      <c r="H1292" s="2" t="str">
        <f>IF(Table1[[#This Row],[Major Group]]&lt;&gt;"","n/a",IF(Table1[[#This Row],[Minor Group]]&lt;&gt;"",Table1[[#This Row],[Minor Group]],H1291))</f>
        <v>51-9000</v>
      </c>
      <c r="I1292" s="2" t="str">
        <f>IF(Table1[[#This Row],[Major Group]]&lt;&gt;"","n/a",IF(Table1[[#This Row],[Minor Group]]&lt;&gt;"","n/a",IF(Table1[[#This Row],[Broad Group]]&lt;&gt;"",Table1[[#This Row],[Broad Group]],I1291)))</f>
        <v>51-9030</v>
      </c>
      <c r="J12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Occupation]],J1291))))</f>
        <v>n/a</v>
      </c>
      <c r="K1292" s="2" t="str">
        <f>Table1[[#This Row],[Group Name]]</f>
        <v>Cutting Workers</v>
      </c>
    </row>
    <row r="1293" spans="2:11" x14ac:dyDescent="0.25">
      <c r="D1293" s="5" t="s">
        <v>2346</v>
      </c>
      <c r="E1293" s="5" t="s">
        <v>2347</v>
      </c>
      <c r="F12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93" s="2" t="str">
        <f>IF(Table1[[#This Row],[Type]]="Major",Table1[[#This Row],[Major Group]],G1292)</f>
        <v>51-0000</v>
      </c>
      <c r="H1293" s="2" t="str">
        <f>IF(Table1[[#This Row],[Major Group]]&lt;&gt;"","n/a",IF(Table1[[#This Row],[Minor Group]]&lt;&gt;"",Table1[[#This Row],[Minor Group]],H1292))</f>
        <v>51-9000</v>
      </c>
      <c r="I1293" s="2" t="str">
        <f>IF(Table1[[#This Row],[Major Group]]&lt;&gt;"","n/a",IF(Table1[[#This Row],[Minor Group]]&lt;&gt;"","n/a",IF(Table1[[#This Row],[Broad Group]]&lt;&gt;"",Table1[[#This Row],[Broad Group]],I1292)))</f>
        <v>51-9030</v>
      </c>
      <c r="J12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Occupation]],J1292))))</f>
        <v>51-9031</v>
      </c>
      <c r="K1293" s="2" t="str">
        <f>Table1[[#This Row],[Group Name]]</f>
        <v>Cutters and Trimmers, Hand</v>
      </c>
    </row>
    <row r="1294" spans="2:11" ht="25.5" x14ac:dyDescent="0.25">
      <c r="D1294" s="5" t="s">
        <v>2348</v>
      </c>
      <c r="E1294" s="5" t="s">
        <v>2349</v>
      </c>
      <c r="F12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94" s="2" t="str">
        <f>IF(Table1[[#This Row],[Type]]="Major",Table1[[#This Row],[Major Group]],G1293)</f>
        <v>51-0000</v>
      </c>
      <c r="H1294" s="2" t="str">
        <f>IF(Table1[[#This Row],[Major Group]]&lt;&gt;"","n/a",IF(Table1[[#This Row],[Minor Group]]&lt;&gt;"",Table1[[#This Row],[Minor Group]],H1293))</f>
        <v>51-9000</v>
      </c>
      <c r="I1294" s="2" t="str">
        <f>IF(Table1[[#This Row],[Major Group]]&lt;&gt;"","n/a",IF(Table1[[#This Row],[Minor Group]]&lt;&gt;"","n/a",IF(Table1[[#This Row],[Broad Group]]&lt;&gt;"",Table1[[#This Row],[Broad Group]],I1293)))</f>
        <v>51-9030</v>
      </c>
      <c r="J12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Occupation]],J1293))))</f>
        <v>51-9032</v>
      </c>
      <c r="K1294" s="2" t="str">
        <f>Table1[[#This Row],[Group Name]]</f>
        <v>Cutting and Slicing Machine Setters, Operators, and Tenders</v>
      </c>
    </row>
    <row r="1295" spans="2:11" ht="45" x14ac:dyDescent="0.25">
      <c r="C1295" s="1" t="s">
        <v>2350</v>
      </c>
      <c r="E1295" s="1" t="s">
        <v>2351</v>
      </c>
      <c r="F12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95" s="2" t="str">
        <f>IF(Table1[[#This Row],[Type]]="Major",Table1[[#This Row],[Major Group]],G1294)</f>
        <v>51-0000</v>
      </c>
      <c r="H1295" s="2" t="str">
        <f>IF(Table1[[#This Row],[Major Group]]&lt;&gt;"","n/a",IF(Table1[[#This Row],[Minor Group]]&lt;&gt;"",Table1[[#This Row],[Minor Group]],H1294))</f>
        <v>51-9000</v>
      </c>
      <c r="I1295" s="2" t="str">
        <f>IF(Table1[[#This Row],[Major Group]]&lt;&gt;"","n/a",IF(Table1[[#This Row],[Minor Group]]&lt;&gt;"","n/a",IF(Table1[[#This Row],[Broad Group]]&lt;&gt;"",Table1[[#This Row],[Broad Group]],I1294)))</f>
        <v>51-9040</v>
      </c>
      <c r="J12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Occupation]],J1294))))</f>
        <v>n/a</v>
      </c>
      <c r="K1295" s="2" t="str">
        <f>Table1[[#This Row],[Group Name]]</f>
        <v>Extruding, Forming, Pressing, and Compacting Machine Setters, Operators, and Tenders</v>
      </c>
    </row>
    <row r="1296" spans="2:11" ht="38.25" x14ac:dyDescent="0.25">
      <c r="D1296" s="5" t="s">
        <v>2352</v>
      </c>
      <c r="E1296" s="5" t="s">
        <v>2351</v>
      </c>
      <c r="F12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96" s="2" t="str">
        <f>IF(Table1[[#This Row],[Type]]="Major",Table1[[#This Row],[Major Group]],G1295)</f>
        <v>51-0000</v>
      </c>
      <c r="H1296" s="2" t="str">
        <f>IF(Table1[[#This Row],[Major Group]]&lt;&gt;"","n/a",IF(Table1[[#This Row],[Minor Group]]&lt;&gt;"",Table1[[#This Row],[Minor Group]],H1295))</f>
        <v>51-9000</v>
      </c>
      <c r="I1296" s="2" t="str">
        <f>IF(Table1[[#This Row],[Major Group]]&lt;&gt;"","n/a",IF(Table1[[#This Row],[Minor Group]]&lt;&gt;"","n/a",IF(Table1[[#This Row],[Broad Group]]&lt;&gt;"",Table1[[#This Row],[Broad Group]],I1295)))</f>
        <v>51-9040</v>
      </c>
      <c r="J12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Occupation]],J1295))))</f>
        <v>51-9041</v>
      </c>
      <c r="K1296" s="2" t="str">
        <f>Table1[[#This Row],[Group Name]]</f>
        <v>Extruding, Forming, Pressing, and Compacting Machine Setters, Operators, and Tenders</v>
      </c>
    </row>
    <row r="1297" spans="3:11" ht="30" x14ac:dyDescent="0.25">
      <c r="C1297" s="1" t="s">
        <v>2353</v>
      </c>
      <c r="E1297" s="1" t="s">
        <v>2354</v>
      </c>
      <c r="F12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97" s="2" t="str">
        <f>IF(Table1[[#This Row],[Type]]="Major",Table1[[#This Row],[Major Group]],G1296)</f>
        <v>51-0000</v>
      </c>
      <c r="H1297" s="2" t="str">
        <f>IF(Table1[[#This Row],[Major Group]]&lt;&gt;"","n/a",IF(Table1[[#This Row],[Minor Group]]&lt;&gt;"",Table1[[#This Row],[Minor Group]],H1296))</f>
        <v>51-9000</v>
      </c>
      <c r="I1297" s="2" t="str">
        <f>IF(Table1[[#This Row],[Major Group]]&lt;&gt;"","n/a",IF(Table1[[#This Row],[Minor Group]]&lt;&gt;"","n/a",IF(Table1[[#This Row],[Broad Group]]&lt;&gt;"",Table1[[#This Row],[Broad Group]],I1296)))</f>
        <v>51-9050</v>
      </c>
      <c r="J12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Occupation]],J1296))))</f>
        <v>n/a</v>
      </c>
      <c r="K1297" s="2" t="str">
        <f>Table1[[#This Row],[Group Name]]</f>
        <v>Furnace, Kiln, Oven, Drier, and Kettle Operators and Tenders</v>
      </c>
    </row>
    <row r="1298" spans="3:11" ht="25.5" x14ac:dyDescent="0.25">
      <c r="D1298" s="5" t="s">
        <v>2355</v>
      </c>
      <c r="E1298" s="5" t="s">
        <v>2354</v>
      </c>
      <c r="F12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298" s="2" t="str">
        <f>IF(Table1[[#This Row],[Type]]="Major",Table1[[#This Row],[Major Group]],G1297)</f>
        <v>51-0000</v>
      </c>
      <c r="H1298" s="2" t="str">
        <f>IF(Table1[[#This Row],[Major Group]]&lt;&gt;"","n/a",IF(Table1[[#This Row],[Minor Group]]&lt;&gt;"",Table1[[#This Row],[Minor Group]],H1297))</f>
        <v>51-9000</v>
      </c>
      <c r="I1298" s="2" t="str">
        <f>IF(Table1[[#This Row],[Major Group]]&lt;&gt;"","n/a",IF(Table1[[#This Row],[Minor Group]]&lt;&gt;"","n/a",IF(Table1[[#This Row],[Broad Group]]&lt;&gt;"",Table1[[#This Row],[Broad Group]],I1297)))</f>
        <v>51-9050</v>
      </c>
      <c r="J12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Occupation]],J1297))))</f>
        <v>51-9051</v>
      </c>
      <c r="K1298" s="2" t="str">
        <f>Table1[[#This Row],[Group Name]]</f>
        <v>Furnace, Kiln, Oven, Drier, and Kettle Operators and Tenders</v>
      </c>
    </row>
    <row r="1299" spans="3:11" ht="30" x14ac:dyDescent="0.25">
      <c r="C1299" s="1" t="s">
        <v>2356</v>
      </c>
      <c r="E1299" s="1" t="s">
        <v>2357</v>
      </c>
      <c r="F12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299" s="2" t="str">
        <f>IF(Table1[[#This Row],[Type]]="Major",Table1[[#This Row],[Major Group]],G1298)</f>
        <v>51-0000</v>
      </c>
      <c r="H1299" s="2" t="str">
        <f>IF(Table1[[#This Row],[Major Group]]&lt;&gt;"","n/a",IF(Table1[[#This Row],[Minor Group]]&lt;&gt;"",Table1[[#This Row],[Minor Group]],H1298))</f>
        <v>51-9000</v>
      </c>
      <c r="I1299" s="2" t="str">
        <f>IF(Table1[[#This Row],[Major Group]]&lt;&gt;"","n/a",IF(Table1[[#This Row],[Minor Group]]&lt;&gt;"","n/a",IF(Table1[[#This Row],[Broad Group]]&lt;&gt;"",Table1[[#This Row],[Broad Group]],I1298)))</f>
        <v>51-9060</v>
      </c>
      <c r="J12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Occupation]],J1298))))</f>
        <v>n/a</v>
      </c>
      <c r="K1299" s="2" t="str">
        <f>Table1[[#This Row],[Group Name]]</f>
        <v>Inspectors, Testers, Sorters, Samplers, and Weighers</v>
      </c>
    </row>
    <row r="1300" spans="3:11" ht="25.5" x14ac:dyDescent="0.25">
      <c r="D1300" s="5" t="s">
        <v>2358</v>
      </c>
      <c r="E1300" s="5" t="s">
        <v>2357</v>
      </c>
      <c r="F13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00" s="2" t="str">
        <f>IF(Table1[[#This Row],[Type]]="Major",Table1[[#This Row],[Major Group]],G1299)</f>
        <v>51-0000</v>
      </c>
      <c r="H1300" s="2" t="str">
        <f>IF(Table1[[#This Row],[Major Group]]&lt;&gt;"","n/a",IF(Table1[[#This Row],[Minor Group]]&lt;&gt;"",Table1[[#This Row],[Minor Group]],H1299))</f>
        <v>51-9000</v>
      </c>
      <c r="I1300" s="2" t="str">
        <f>IF(Table1[[#This Row],[Major Group]]&lt;&gt;"","n/a",IF(Table1[[#This Row],[Minor Group]]&lt;&gt;"","n/a",IF(Table1[[#This Row],[Broad Group]]&lt;&gt;"",Table1[[#This Row],[Broad Group]],I1299)))</f>
        <v>51-9060</v>
      </c>
      <c r="J13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Occupation]],J1299))))</f>
        <v>51-9061</v>
      </c>
      <c r="K1300" s="2" t="str">
        <f>Table1[[#This Row],[Group Name]]</f>
        <v>Inspectors, Testers, Sorters, Samplers, and Weighers</v>
      </c>
    </row>
    <row r="1301" spans="3:11" ht="30" x14ac:dyDescent="0.25">
      <c r="C1301" s="1" t="s">
        <v>2359</v>
      </c>
      <c r="E1301" s="1" t="s">
        <v>2360</v>
      </c>
      <c r="F13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01" s="2" t="str">
        <f>IF(Table1[[#This Row],[Type]]="Major",Table1[[#This Row],[Major Group]],G1300)</f>
        <v>51-0000</v>
      </c>
      <c r="H1301" s="2" t="str">
        <f>IF(Table1[[#This Row],[Major Group]]&lt;&gt;"","n/a",IF(Table1[[#This Row],[Minor Group]]&lt;&gt;"",Table1[[#This Row],[Minor Group]],H1300))</f>
        <v>51-9000</v>
      </c>
      <c r="I1301" s="2" t="str">
        <f>IF(Table1[[#This Row],[Major Group]]&lt;&gt;"","n/a",IF(Table1[[#This Row],[Minor Group]]&lt;&gt;"","n/a",IF(Table1[[#This Row],[Broad Group]]&lt;&gt;"",Table1[[#This Row],[Broad Group]],I1300)))</f>
        <v>51-9070</v>
      </c>
      <c r="J13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Occupation]],J1300))))</f>
        <v>n/a</v>
      </c>
      <c r="K1301" s="2" t="str">
        <f>Table1[[#This Row],[Group Name]]</f>
        <v>Jewelers and Precious Stone and Metal Workers</v>
      </c>
    </row>
    <row r="1302" spans="3:11" ht="25.5" x14ac:dyDescent="0.25">
      <c r="D1302" s="5" t="s">
        <v>2361</v>
      </c>
      <c r="E1302" s="5" t="s">
        <v>2360</v>
      </c>
      <c r="F13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02" s="2" t="str">
        <f>IF(Table1[[#This Row],[Type]]="Major",Table1[[#This Row],[Major Group]],G1301)</f>
        <v>51-0000</v>
      </c>
      <c r="H1302" s="2" t="str">
        <f>IF(Table1[[#This Row],[Major Group]]&lt;&gt;"","n/a",IF(Table1[[#This Row],[Minor Group]]&lt;&gt;"",Table1[[#This Row],[Minor Group]],H1301))</f>
        <v>51-9000</v>
      </c>
      <c r="I1302" s="2" t="str">
        <f>IF(Table1[[#This Row],[Major Group]]&lt;&gt;"","n/a",IF(Table1[[#This Row],[Minor Group]]&lt;&gt;"","n/a",IF(Table1[[#This Row],[Broad Group]]&lt;&gt;"",Table1[[#This Row],[Broad Group]],I1301)))</f>
        <v>51-9070</v>
      </c>
      <c r="J13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Occupation]],J1301))))</f>
        <v>51-9071</v>
      </c>
      <c r="K1302" s="2" t="str">
        <f>Table1[[#This Row],[Group Name]]</f>
        <v>Jewelers and Precious Stone and Metal Workers</v>
      </c>
    </row>
    <row r="1303" spans="3:11" ht="45" x14ac:dyDescent="0.25">
      <c r="C1303" s="1" t="s">
        <v>2362</v>
      </c>
      <c r="E1303" s="1" t="s">
        <v>2363</v>
      </c>
      <c r="F13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03" s="2" t="str">
        <f>IF(Table1[[#This Row],[Type]]="Major",Table1[[#This Row],[Major Group]],G1302)</f>
        <v>51-0000</v>
      </c>
      <c r="H1303" s="2" t="str">
        <f>IF(Table1[[#This Row],[Major Group]]&lt;&gt;"","n/a",IF(Table1[[#This Row],[Minor Group]]&lt;&gt;"",Table1[[#This Row],[Minor Group]],H1302))</f>
        <v>51-9000</v>
      </c>
      <c r="I1303" s="2" t="str">
        <f>IF(Table1[[#This Row],[Major Group]]&lt;&gt;"","n/a",IF(Table1[[#This Row],[Minor Group]]&lt;&gt;"","n/a",IF(Table1[[#This Row],[Broad Group]]&lt;&gt;"",Table1[[#This Row],[Broad Group]],I1302)))</f>
        <v>51-9080</v>
      </c>
      <c r="J13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Occupation]],J1302))))</f>
        <v>n/a</v>
      </c>
      <c r="K1303" s="2" t="str">
        <f>Table1[[#This Row],[Group Name]]</f>
        <v>Dental and Ophthalmic Laboratory Technicians and Medical Appliance Technicians</v>
      </c>
    </row>
    <row r="1304" spans="3:11" x14ac:dyDescent="0.25">
      <c r="D1304" s="5" t="s">
        <v>2364</v>
      </c>
      <c r="E1304" s="5" t="s">
        <v>2365</v>
      </c>
      <c r="F13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04" s="2" t="str">
        <f>IF(Table1[[#This Row],[Type]]="Major",Table1[[#This Row],[Major Group]],G1303)</f>
        <v>51-0000</v>
      </c>
      <c r="H1304" s="2" t="str">
        <f>IF(Table1[[#This Row],[Major Group]]&lt;&gt;"","n/a",IF(Table1[[#This Row],[Minor Group]]&lt;&gt;"",Table1[[#This Row],[Minor Group]],H1303))</f>
        <v>51-9000</v>
      </c>
      <c r="I1304" s="2" t="str">
        <f>IF(Table1[[#This Row],[Major Group]]&lt;&gt;"","n/a",IF(Table1[[#This Row],[Minor Group]]&lt;&gt;"","n/a",IF(Table1[[#This Row],[Broad Group]]&lt;&gt;"",Table1[[#This Row],[Broad Group]],I1303)))</f>
        <v>51-9080</v>
      </c>
      <c r="J13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Occupation]],J1303))))</f>
        <v>51-9081</v>
      </c>
      <c r="K1304" s="2" t="str">
        <f>Table1[[#This Row],[Group Name]]</f>
        <v>Dental Laboratory Technicians</v>
      </c>
    </row>
    <row r="1305" spans="3:11" x14ac:dyDescent="0.25">
      <c r="D1305" s="5" t="s">
        <v>2366</v>
      </c>
      <c r="E1305" s="5" t="s">
        <v>2367</v>
      </c>
      <c r="F13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05" s="2" t="str">
        <f>IF(Table1[[#This Row],[Type]]="Major",Table1[[#This Row],[Major Group]],G1304)</f>
        <v>51-0000</v>
      </c>
      <c r="H1305" s="2" t="str">
        <f>IF(Table1[[#This Row],[Major Group]]&lt;&gt;"","n/a",IF(Table1[[#This Row],[Minor Group]]&lt;&gt;"",Table1[[#This Row],[Minor Group]],H1304))</f>
        <v>51-9000</v>
      </c>
      <c r="I1305" s="2" t="str">
        <f>IF(Table1[[#This Row],[Major Group]]&lt;&gt;"","n/a",IF(Table1[[#This Row],[Minor Group]]&lt;&gt;"","n/a",IF(Table1[[#This Row],[Broad Group]]&lt;&gt;"",Table1[[#This Row],[Broad Group]],I1304)))</f>
        <v>51-9080</v>
      </c>
      <c r="J13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Occupation]],J1304))))</f>
        <v>51-9082</v>
      </c>
      <c r="K1305" s="2" t="str">
        <f>Table1[[#This Row],[Group Name]]</f>
        <v>Medical Appliance Technicians</v>
      </c>
    </row>
    <row r="1306" spans="3:11" x14ac:dyDescent="0.25">
      <c r="D1306" s="5" t="s">
        <v>2368</v>
      </c>
      <c r="E1306" s="5" t="s">
        <v>2369</v>
      </c>
      <c r="F13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06" s="2" t="str">
        <f>IF(Table1[[#This Row],[Type]]="Major",Table1[[#This Row],[Major Group]],G1305)</f>
        <v>51-0000</v>
      </c>
      <c r="H1306" s="2" t="str">
        <f>IF(Table1[[#This Row],[Major Group]]&lt;&gt;"","n/a",IF(Table1[[#This Row],[Minor Group]]&lt;&gt;"",Table1[[#This Row],[Minor Group]],H1305))</f>
        <v>51-9000</v>
      </c>
      <c r="I1306" s="2" t="str">
        <f>IF(Table1[[#This Row],[Major Group]]&lt;&gt;"","n/a",IF(Table1[[#This Row],[Minor Group]]&lt;&gt;"","n/a",IF(Table1[[#This Row],[Broad Group]]&lt;&gt;"",Table1[[#This Row],[Broad Group]],I1305)))</f>
        <v>51-9080</v>
      </c>
      <c r="J13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Occupation]],J1305))))</f>
        <v>51-9083</v>
      </c>
      <c r="K1306" s="2" t="str">
        <f>Table1[[#This Row],[Group Name]]</f>
        <v>Ophthalmic Laboratory Technicians</v>
      </c>
    </row>
    <row r="1307" spans="3:11" ht="30" x14ac:dyDescent="0.25">
      <c r="C1307" s="1" t="s">
        <v>2370</v>
      </c>
      <c r="E1307" s="1" t="s">
        <v>2371</v>
      </c>
      <c r="F13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07" s="2" t="str">
        <f>IF(Table1[[#This Row],[Type]]="Major",Table1[[#This Row],[Major Group]],G1306)</f>
        <v>51-0000</v>
      </c>
      <c r="H1307" s="2" t="str">
        <f>IF(Table1[[#This Row],[Major Group]]&lt;&gt;"","n/a",IF(Table1[[#This Row],[Minor Group]]&lt;&gt;"",Table1[[#This Row],[Minor Group]],H1306))</f>
        <v>51-9000</v>
      </c>
      <c r="I1307" s="2" t="str">
        <f>IF(Table1[[#This Row],[Major Group]]&lt;&gt;"","n/a",IF(Table1[[#This Row],[Minor Group]]&lt;&gt;"","n/a",IF(Table1[[#This Row],[Broad Group]]&lt;&gt;"",Table1[[#This Row],[Broad Group]],I1306)))</f>
        <v>51-9110</v>
      </c>
      <c r="J13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Occupation]],J1306))))</f>
        <v>n/a</v>
      </c>
      <c r="K1307" s="2" t="str">
        <f>Table1[[#This Row],[Group Name]]</f>
        <v>Packaging and Filling Machine Operators and Tenders</v>
      </c>
    </row>
    <row r="1308" spans="3:11" ht="25.5" x14ac:dyDescent="0.25">
      <c r="D1308" s="5" t="s">
        <v>2372</v>
      </c>
      <c r="E1308" s="5" t="s">
        <v>2371</v>
      </c>
      <c r="F13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08" s="2" t="str">
        <f>IF(Table1[[#This Row],[Type]]="Major",Table1[[#This Row],[Major Group]],G1307)</f>
        <v>51-0000</v>
      </c>
      <c r="H1308" s="2" t="str">
        <f>IF(Table1[[#This Row],[Major Group]]&lt;&gt;"","n/a",IF(Table1[[#This Row],[Minor Group]]&lt;&gt;"",Table1[[#This Row],[Minor Group]],H1307))</f>
        <v>51-9000</v>
      </c>
      <c r="I1308" s="2" t="str">
        <f>IF(Table1[[#This Row],[Major Group]]&lt;&gt;"","n/a",IF(Table1[[#This Row],[Minor Group]]&lt;&gt;"","n/a",IF(Table1[[#This Row],[Broad Group]]&lt;&gt;"",Table1[[#This Row],[Broad Group]],I1307)))</f>
        <v>51-9110</v>
      </c>
      <c r="J13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Occupation]],J1307))))</f>
        <v>51-9111</v>
      </c>
      <c r="K1308" s="2" t="str">
        <f>Table1[[#This Row],[Group Name]]</f>
        <v>Packaging and Filling Machine Operators and Tenders</v>
      </c>
    </row>
    <row r="1309" spans="3:11" x14ac:dyDescent="0.25">
      <c r="C1309" s="1" t="s">
        <v>2373</v>
      </c>
      <c r="E1309" s="1" t="s">
        <v>2374</v>
      </c>
      <c r="F13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09" s="2" t="str">
        <f>IF(Table1[[#This Row],[Type]]="Major",Table1[[#This Row],[Major Group]],G1308)</f>
        <v>51-0000</v>
      </c>
      <c r="H1309" s="2" t="str">
        <f>IF(Table1[[#This Row],[Major Group]]&lt;&gt;"","n/a",IF(Table1[[#This Row],[Minor Group]]&lt;&gt;"",Table1[[#This Row],[Minor Group]],H1308))</f>
        <v>51-9000</v>
      </c>
      <c r="I1309" s="2" t="str">
        <f>IF(Table1[[#This Row],[Major Group]]&lt;&gt;"","n/a",IF(Table1[[#This Row],[Minor Group]]&lt;&gt;"","n/a",IF(Table1[[#This Row],[Broad Group]]&lt;&gt;"",Table1[[#This Row],[Broad Group]],I1308)))</f>
        <v>51-9120</v>
      </c>
      <c r="J13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Occupation]],J1308))))</f>
        <v>n/a</v>
      </c>
      <c r="K1309" s="2" t="str">
        <f>Table1[[#This Row],[Group Name]]</f>
        <v>Painting Workers</v>
      </c>
    </row>
    <row r="1310" spans="3:11" ht="25.5" x14ac:dyDescent="0.25">
      <c r="D1310" s="5" t="s">
        <v>2375</v>
      </c>
      <c r="E1310" s="5" t="s">
        <v>2376</v>
      </c>
      <c r="F13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10" s="2" t="str">
        <f>IF(Table1[[#This Row],[Type]]="Major",Table1[[#This Row],[Major Group]],G1309)</f>
        <v>51-0000</v>
      </c>
      <c r="H1310" s="2" t="str">
        <f>IF(Table1[[#This Row],[Major Group]]&lt;&gt;"","n/a",IF(Table1[[#This Row],[Minor Group]]&lt;&gt;"",Table1[[#This Row],[Minor Group]],H1309))</f>
        <v>51-9000</v>
      </c>
      <c r="I1310" s="2" t="str">
        <f>IF(Table1[[#This Row],[Major Group]]&lt;&gt;"","n/a",IF(Table1[[#This Row],[Minor Group]]&lt;&gt;"","n/a",IF(Table1[[#This Row],[Broad Group]]&lt;&gt;"",Table1[[#This Row],[Broad Group]],I1309)))</f>
        <v>51-9120</v>
      </c>
      <c r="J13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Occupation]],J1309))))</f>
        <v>51-9123</v>
      </c>
      <c r="K1310" s="2" t="str">
        <f>Table1[[#This Row],[Group Name]]</f>
        <v>Painting, Coating, and Decorating Workers</v>
      </c>
    </row>
    <row r="1311" spans="3:11" ht="38.25" x14ac:dyDescent="0.25">
      <c r="D1311" s="5" t="s">
        <v>2377</v>
      </c>
      <c r="E1311" s="5" t="s">
        <v>2378</v>
      </c>
      <c r="F13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11" s="2" t="str">
        <f>IF(Table1[[#This Row],[Type]]="Major",Table1[[#This Row],[Major Group]],G1310)</f>
        <v>51-0000</v>
      </c>
      <c r="H1311" s="2" t="str">
        <f>IF(Table1[[#This Row],[Major Group]]&lt;&gt;"","n/a",IF(Table1[[#This Row],[Minor Group]]&lt;&gt;"",Table1[[#This Row],[Minor Group]],H1310))</f>
        <v>51-9000</v>
      </c>
      <c r="I1311" s="2" t="str">
        <f>IF(Table1[[#This Row],[Major Group]]&lt;&gt;"","n/a",IF(Table1[[#This Row],[Minor Group]]&lt;&gt;"","n/a",IF(Table1[[#This Row],[Broad Group]]&lt;&gt;"",Table1[[#This Row],[Broad Group]],I1310)))</f>
        <v>51-9120</v>
      </c>
      <c r="J13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Occupation]],J1310))))</f>
        <v>51-9124</v>
      </c>
      <c r="K1311" s="2" t="str">
        <f>Table1[[#This Row],[Group Name]]</f>
        <v>Coating, Painting, and Spraying Machine Setters, Operators, and Tenders</v>
      </c>
    </row>
    <row r="1312" spans="3:11" ht="30" x14ac:dyDescent="0.25">
      <c r="C1312" s="1" t="s">
        <v>2379</v>
      </c>
      <c r="E1312" s="1" t="s">
        <v>2380</v>
      </c>
      <c r="F13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12" s="2" t="str">
        <f>IF(Table1[[#This Row],[Type]]="Major",Table1[[#This Row],[Major Group]],G1311)</f>
        <v>51-0000</v>
      </c>
      <c r="H1312" s="2" t="str">
        <f>IF(Table1[[#This Row],[Major Group]]&lt;&gt;"","n/a",IF(Table1[[#This Row],[Minor Group]]&lt;&gt;"",Table1[[#This Row],[Minor Group]],H1311))</f>
        <v>51-9000</v>
      </c>
      <c r="I1312" s="2" t="str">
        <f>IF(Table1[[#This Row],[Major Group]]&lt;&gt;"","n/a",IF(Table1[[#This Row],[Minor Group]]&lt;&gt;"","n/a",IF(Table1[[#This Row],[Broad Group]]&lt;&gt;"",Table1[[#This Row],[Broad Group]],I1311)))</f>
        <v>51-9140</v>
      </c>
      <c r="J13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Occupation]],J1311))))</f>
        <v>n/a</v>
      </c>
      <c r="K1312" s="2" t="str">
        <f>Table1[[#This Row],[Group Name]]</f>
        <v>Semiconductor Processing Technicians</v>
      </c>
    </row>
    <row r="1313" spans="3:11" ht="25.5" x14ac:dyDescent="0.25">
      <c r="D1313" s="5" t="s">
        <v>2381</v>
      </c>
      <c r="E1313" s="5" t="s">
        <v>2380</v>
      </c>
      <c r="F13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13" s="2" t="str">
        <f>IF(Table1[[#This Row],[Type]]="Major",Table1[[#This Row],[Major Group]],G1312)</f>
        <v>51-0000</v>
      </c>
      <c r="H1313" s="2" t="str">
        <f>IF(Table1[[#This Row],[Major Group]]&lt;&gt;"","n/a",IF(Table1[[#This Row],[Minor Group]]&lt;&gt;"",Table1[[#This Row],[Minor Group]],H1312))</f>
        <v>51-9000</v>
      </c>
      <c r="I1313" s="2" t="str">
        <f>IF(Table1[[#This Row],[Major Group]]&lt;&gt;"","n/a",IF(Table1[[#This Row],[Minor Group]]&lt;&gt;"","n/a",IF(Table1[[#This Row],[Broad Group]]&lt;&gt;"",Table1[[#This Row],[Broad Group]],I1312)))</f>
        <v>51-9140</v>
      </c>
      <c r="J13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Occupation]],J1312))))</f>
        <v>51-9141</v>
      </c>
      <c r="K1313" s="2" t="str">
        <f>Table1[[#This Row],[Group Name]]</f>
        <v>Semiconductor Processing Technicians</v>
      </c>
    </row>
    <row r="1314" spans="3:11" ht="30" x14ac:dyDescent="0.25">
      <c r="C1314" s="1" t="s">
        <v>2382</v>
      </c>
      <c r="E1314" s="1" t="s">
        <v>2383</v>
      </c>
      <c r="F13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14" s="2" t="str">
        <f>IF(Table1[[#This Row],[Type]]="Major",Table1[[#This Row],[Major Group]],G1313)</f>
        <v>51-0000</v>
      </c>
      <c r="H1314" s="2" t="str">
        <f>IF(Table1[[#This Row],[Major Group]]&lt;&gt;"","n/a",IF(Table1[[#This Row],[Minor Group]]&lt;&gt;"",Table1[[#This Row],[Minor Group]],H1313))</f>
        <v>51-9000</v>
      </c>
      <c r="I1314" s="2" t="str">
        <f>IF(Table1[[#This Row],[Major Group]]&lt;&gt;"","n/a",IF(Table1[[#This Row],[Minor Group]]&lt;&gt;"","n/a",IF(Table1[[#This Row],[Broad Group]]&lt;&gt;"",Table1[[#This Row],[Broad Group]],I1313)))</f>
        <v>51-9150</v>
      </c>
      <c r="J13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Occupation]],J1313))))</f>
        <v>n/a</v>
      </c>
      <c r="K1314" s="2" t="str">
        <f>Table1[[#This Row],[Group Name]]</f>
        <v>Photographic Process Workers and Processing Machine Operators</v>
      </c>
    </row>
    <row r="1315" spans="3:11" ht="25.5" x14ac:dyDescent="0.25">
      <c r="D1315" s="5" t="s">
        <v>2384</v>
      </c>
      <c r="E1315" s="5" t="s">
        <v>2383</v>
      </c>
      <c r="F13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15" s="2" t="str">
        <f>IF(Table1[[#This Row],[Type]]="Major",Table1[[#This Row],[Major Group]],G1314)</f>
        <v>51-0000</v>
      </c>
      <c r="H1315" s="2" t="str">
        <f>IF(Table1[[#This Row],[Major Group]]&lt;&gt;"","n/a",IF(Table1[[#This Row],[Minor Group]]&lt;&gt;"",Table1[[#This Row],[Minor Group]],H1314))</f>
        <v>51-9000</v>
      </c>
      <c r="I1315" s="2" t="str">
        <f>IF(Table1[[#This Row],[Major Group]]&lt;&gt;"","n/a",IF(Table1[[#This Row],[Minor Group]]&lt;&gt;"","n/a",IF(Table1[[#This Row],[Broad Group]]&lt;&gt;"",Table1[[#This Row],[Broad Group]],I1314)))</f>
        <v>51-9150</v>
      </c>
      <c r="J13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Occupation]],J1314))))</f>
        <v>51-9151</v>
      </c>
      <c r="K1315" s="2" t="str">
        <f>Table1[[#This Row],[Group Name]]</f>
        <v>Photographic Process Workers and Processing Machine Operators</v>
      </c>
    </row>
    <row r="1316" spans="3:11" ht="30" x14ac:dyDescent="0.25">
      <c r="C1316" s="1" t="s">
        <v>2385</v>
      </c>
      <c r="E1316" s="1" t="s">
        <v>2386</v>
      </c>
      <c r="F13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16" s="2" t="str">
        <f>IF(Table1[[#This Row],[Type]]="Major",Table1[[#This Row],[Major Group]],G1315)</f>
        <v>51-0000</v>
      </c>
      <c r="H1316" s="2" t="str">
        <f>IF(Table1[[#This Row],[Major Group]]&lt;&gt;"","n/a",IF(Table1[[#This Row],[Minor Group]]&lt;&gt;"",Table1[[#This Row],[Minor Group]],H1315))</f>
        <v>51-9000</v>
      </c>
      <c r="I1316" s="2" t="str">
        <f>IF(Table1[[#This Row],[Major Group]]&lt;&gt;"","n/a",IF(Table1[[#This Row],[Minor Group]]&lt;&gt;"","n/a",IF(Table1[[#This Row],[Broad Group]]&lt;&gt;"",Table1[[#This Row],[Broad Group]],I1315)))</f>
        <v>51-9160</v>
      </c>
      <c r="J13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Occupation]],J1315))))</f>
        <v>n/a</v>
      </c>
      <c r="K1316" s="2" t="str">
        <f>Table1[[#This Row],[Group Name]]</f>
        <v>Computer Numerically Controlled Tool Operators and Programmers</v>
      </c>
    </row>
    <row r="1317" spans="3:11" ht="25.5" x14ac:dyDescent="0.25">
      <c r="D1317" s="5" t="s">
        <v>2387</v>
      </c>
      <c r="E1317" s="5" t="s">
        <v>2388</v>
      </c>
      <c r="F13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17" s="2" t="str">
        <f>IF(Table1[[#This Row],[Type]]="Major",Table1[[#This Row],[Major Group]],G1316)</f>
        <v>51-0000</v>
      </c>
      <c r="H1317" s="2" t="str">
        <f>IF(Table1[[#This Row],[Major Group]]&lt;&gt;"","n/a",IF(Table1[[#This Row],[Minor Group]]&lt;&gt;"",Table1[[#This Row],[Minor Group]],H1316))</f>
        <v>51-9000</v>
      </c>
      <c r="I1317" s="2" t="str">
        <f>IF(Table1[[#This Row],[Major Group]]&lt;&gt;"","n/a",IF(Table1[[#This Row],[Minor Group]]&lt;&gt;"","n/a",IF(Table1[[#This Row],[Broad Group]]&lt;&gt;"",Table1[[#This Row],[Broad Group]],I1316)))</f>
        <v>51-9160</v>
      </c>
      <c r="J13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Occupation]],J1316))))</f>
        <v>51-9161</v>
      </c>
      <c r="K1317" s="2" t="str">
        <f>Table1[[#This Row],[Group Name]]</f>
        <v>Computer Numerically Controlled Tool Operators</v>
      </c>
    </row>
    <row r="1318" spans="3:11" ht="25.5" x14ac:dyDescent="0.25">
      <c r="D1318" s="5" t="s">
        <v>2389</v>
      </c>
      <c r="E1318" s="5" t="s">
        <v>2390</v>
      </c>
      <c r="F13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18" s="2" t="str">
        <f>IF(Table1[[#This Row],[Type]]="Major",Table1[[#This Row],[Major Group]],G1317)</f>
        <v>51-0000</v>
      </c>
      <c r="H1318" s="2" t="str">
        <f>IF(Table1[[#This Row],[Major Group]]&lt;&gt;"","n/a",IF(Table1[[#This Row],[Minor Group]]&lt;&gt;"",Table1[[#This Row],[Minor Group]],H1317))</f>
        <v>51-9000</v>
      </c>
      <c r="I1318" s="2" t="str">
        <f>IF(Table1[[#This Row],[Major Group]]&lt;&gt;"","n/a",IF(Table1[[#This Row],[Minor Group]]&lt;&gt;"","n/a",IF(Table1[[#This Row],[Broad Group]]&lt;&gt;"",Table1[[#This Row],[Broad Group]],I1317)))</f>
        <v>51-9160</v>
      </c>
      <c r="J13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Occupation]],J1317))))</f>
        <v>51-9162</v>
      </c>
      <c r="K1318" s="2" t="str">
        <f>Table1[[#This Row],[Group Name]]</f>
        <v>Computer Numerically Controlled Tool Programmers</v>
      </c>
    </row>
    <row r="1319" spans="3:11" ht="30" x14ac:dyDescent="0.25">
      <c r="C1319" s="1" t="s">
        <v>2391</v>
      </c>
      <c r="E1319" s="1" t="s">
        <v>2392</v>
      </c>
      <c r="F13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19" s="2" t="str">
        <f>IF(Table1[[#This Row],[Type]]="Major",Table1[[#This Row],[Major Group]],G1318)</f>
        <v>51-0000</v>
      </c>
      <c r="H1319" s="2" t="str">
        <f>IF(Table1[[#This Row],[Major Group]]&lt;&gt;"","n/a",IF(Table1[[#This Row],[Minor Group]]&lt;&gt;"",Table1[[#This Row],[Minor Group]],H1318))</f>
        <v>51-9000</v>
      </c>
      <c r="I1319" s="2" t="str">
        <f>IF(Table1[[#This Row],[Major Group]]&lt;&gt;"","n/a",IF(Table1[[#This Row],[Minor Group]]&lt;&gt;"","n/a",IF(Table1[[#This Row],[Broad Group]]&lt;&gt;"",Table1[[#This Row],[Broad Group]],I1318)))</f>
        <v>51-9190</v>
      </c>
      <c r="J13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Occupation]],J1318))))</f>
        <v>n/a</v>
      </c>
      <c r="K1319" s="2" t="str">
        <f>Table1[[#This Row],[Group Name]]</f>
        <v>Miscellaneous Production Workers</v>
      </c>
    </row>
    <row r="1320" spans="3:11" ht="25.5" x14ac:dyDescent="0.25">
      <c r="D1320" s="5" t="s">
        <v>2393</v>
      </c>
      <c r="E1320" s="5" t="s">
        <v>2394</v>
      </c>
      <c r="F13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0" s="2" t="str">
        <f>IF(Table1[[#This Row],[Type]]="Major",Table1[[#This Row],[Major Group]],G1319)</f>
        <v>51-0000</v>
      </c>
      <c r="H1320" s="2" t="str">
        <f>IF(Table1[[#This Row],[Major Group]]&lt;&gt;"","n/a",IF(Table1[[#This Row],[Minor Group]]&lt;&gt;"",Table1[[#This Row],[Minor Group]],H1319))</f>
        <v>51-9000</v>
      </c>
      <c r="I1320" s="2" t="str">
        <f>IF(Table1[[#This Row],[Major Group]]&lt;&gt;"","n/a",IF(Table1[[#This Row],[Minor Group]]&lt;&gt;"","n/a",IF(Table1[[#This Row],[Broad Group]]&lt;&gt;"",Table1[[#This Row],[Broad Group]],I1319)))</f>
        <v>51-9190</v>
      </c>
      <c r="J13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Occupation]],J1319))))</f>
        <v>51-9191</v>
      </c>
      <c r="K1320" s="2" t="str">
        <f>Table1[[#This Row],[Group Name]]</f>
        <v>Adhesive Bonding Machine Operators and Tenders</v>
      </c>
    </row>
    <row r="1321" spans="3:11" ht="25.5" x14ac:dyDescent="0.25">
      <c r="D1321" s="5" t="s">
        <v>2395</v>
      </c>
      <c r="E1321" s="5" t="s">
        <v>2396</v>
      </c>
      <c r="F13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1" s="2" t="str">
        <f>IF(Table1[[#This Row],[Type]]="Major",Table1[[#This Row],[Major Group]],G1320)</f>
        <v>51-0000</v>
      </c>
      <c r="H1321" s="2" t="str">
        <f>IF(Table1[[#This Row],[Major Group]]&lt;&gt;"","n/a",IF(Table1[[#This Row],[Minor Group]]&lt;&gt;"",Table1[[#This Row],[Minor Group]],H1320))</f>
        <v>51-9000</v>
      </c>
      <c r="I1321" s="2" t="str">
        <f>IF(Table1[[#This Row],[Major Group]]&lt;&gt;"","n/a",IF(Table1[[#This Row],[Minor Group]]&lt;&gt;"","n/a",IF(Table1[[#This Row],[Broad Group]]&lt;&gt;"",Table1[[#This Row],[Broad Group]],I1320)))</f>
        <v>51-9190</v>
      </c>
      <c r="J13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Occupation]],J1320))))</f>
        <v>51-9192</v>
      </c>
      <c r="K1321" s="2" t="str">
        <f>Table1[[#This Row],[Group Name]]</f>
        <v>Cleaning, Washing, and Metal Pickling Equipment Operators and Tenders</v>
      </c>
    </row>
    <row r="1322" spans="3:11" ht="25.5" x14ac:dyDescent="0.25">
      <c r="D1322" s="5" t="s">
        <v>2397</v>
      </c>
      <c r="E1322" s="5" t="s">
        <v>2398</v>
      </c>
      <c r="F13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2" s="2" t="str">
        <f>IF(Table1[[#This Row],[Type]]="Major",Table1[[#This Row],[Major Group]],G1321)</f>
        <v>51-0000</v>
      </c>
      <c r="H1322" s="2" t="str">
        <f>IF(Table1[[#This Row],[Major Group]]&lt;&gt;"","n/a",IF(Table1[[#This Row],[Minor Group]]&lt;&gt;"",Table1[[#This Row],[Minor Group]],H1321))</f>
        <v>51-9000</v>
      </c>
      <c r="I1322" s="2" t="str">
        <f>IF(Table1[[#This Row],[Major Group]]&lt;&gt;"","n/a",IF(Table1[[#This Row],[Minor Group]]&lt;&gt;"","n/a",IF(Table1[[#This Row],[Broad Group]]&lt;&gt;"",Table1[[#This Row],[Broad Group]],I1321)))</f>
        <v>51-9190</v>
      </c>
      <c r="J13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Occupation]],J1321))))</f>
        <v>51-9193</v>
      </c>
      <c r="K1322" s="2" t="str">
        <f>Table1[[#This Row],[Group Name]]</f>
        <v>Cooling and Freezing Equipment Operators and Tenders</v>
      </c>
    </row>
    <row r="1323" spans="3:11" x14ac:dyDescent="0.25">
      <c r="D1323" s="5" t="s">
        <v>2399</v>
      </c>
      <c r="E1323" s="5" t="s">
        <v>2400</v>
      </c>
      <c r="F13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3" s="2" t="str">
        <f>IF(Table1[[#This Row],[Type]]="Major",Table1[[#This Row],[Major Group]],G1322)</f>
        <v>51-0000</v>
      </c>
      <c r="H1323" s="2" t="str">
        <f>IF(Table1[[#This Row],[Major Group]]&lt;&gt;"","n/a",IF(Table1[[#This Row],[Minor Group]]&lt;&gt;"",Table1[[#This Row],[Minor Group]],H1322))</f>
        <v>51-9000</v>
      </c>
      <c r="I1323" s="2" t="str">
        <f>IF(Table1[[#This Row],[Major Group]]&lt;&gt;"","n/a",IF(Table1[[#This Row],[Minor Group]]&lt;&gt;"","n/a",IF(Table1[[#This Row],[Broad Group]]&lt;&gt;"",Table1[[#This Row],[Broad Group]],I1322)))</f>
        <v>51-9190</v>
      </c>
      <c r="J13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Occupation]],J1322))))</f>
        <v>51-9194</v>
      </c>
      <c r="K1323" s="2" t="str">
        <f>Table1[[#This Row],[Group Name]]</f>
        <v>Etchers and Engravers</v>
      </c>
    </row>
    <row r="1324" spans="3:11" ht="25.5" x14ac:dyDescent="0.25">
      <c r="D1324" s="5" t="s">
        <v>2401</v>
      </c>
      <c r="E1324" s="5" t="s">
        <v>2402</v>
      </c>
      <c r="F13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4" s="2" t="str">
        <f>IF(Table1[[#This Row],[Type]]="Major",Table1[[#This Row],[Major Group]],G1323)</f>
        <v>51-0000</v>
      </c>
      <c r="H1324" s="2" t="str">
        <f>IF(Table1[[#This Row],[Major Group]]&lt;&gt;"","n/a",IF(Table1[[#This Row],[Minor Group]]&lt;&gt;"",Table1[[#This Row],[Minor Group]],H1323))</f>
        <v>51-9000</v>
      </c>
      <c r="I1324" s="2" t="str">
        <f>IF(Table1[[#This Row],[Major Group]]&lt;&gt;"","n/a",IF(Table1[[#This Row],[Minor Group]]&lt;&gt;"","n/a",IF(Table1[[#This Row],[Broad Group]]&lt;&gt;"",Table1[[#This Row],[Broad Group]],I1323)))</f>
        <v>51-9190</v>
      </c>
      <c r="J13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Occupation]],J1323))))</f>
        <v>51-9195</v>
      </c>
      <c r="K1324" s="2" t="str">
        <f>Table1[[#This Row],[Group Name]]</f>
        <v>Molders, Shapers, and Casters, Except Metal and Plastic</v>
      </c>
    </row>
    <row r="1325" spans="3:11" ht="25.5" x14ac:dyDescent="0.25">
      <c r="D1325" s="5" t="s">
        <v>2403</v>
      </c>
      <c r="E1325" s="5" t="s">
        <v>2404</v>
      </c>
      <c r="F13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5" s="2" t="str">
        <f>IF(Table1[[#This Row],[Type]]="Major",Table1[[#This Row],[Major Group]],G1324)</f>
        <v>51-0000</v>
      </c>
      <c r="H1325" s="2" t="str">
        <f>IF(Table1[[#This Row],[Major Group]]&lt;&gt;"","n/a",IF(Table1[[#This Row],[Minor Group]]&lt;&gt;"",Table1[[#This Row],[Minor Group]],H1324))</f>
        <v>51-9000</v>
      </c>
      <c r="I1325" s="2" t="str">
        <f>IF(Table1[[#This Row],[Major Group]]&lt;&gt;"","n/a",IF(Table1[[#This Row],[Minor Group]]&lt;&gt;"","n/a",IF(Table1[[#This Row],[Broad Group]]&lt;&gt;"",Table1[[#This Row],[Broad Group]],I1324)))</f>
        <v>51-9190</v>
      </c>
      <c r="J13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Occupation]],J1324))))</f>
        <v>51-9196</v>
      </c>
      <c r="K1325" s="2" t="str">
        <f>Table1[[#This Row],[Group Name]]</f>
        <v>Paper Goods Machine Setters, Operators, and Tenders</v>
      </c>
    </row>
    <row r="1326" spans="3:11" x14ac:dyDescent="0.25">
      <c r="D1326" s="5" t="s">
        <v>2405</v>
      </c>
      <c r="E1326" s="5" t="s">
        <v>2406</v>
      </c>
      <c r="F13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6" s="2" t="str">
        <f>IF(Table1[[#This Row],[Type]]="Major",Table1[[#This Row],[Major Group]],G1325)</f>
        <v>51-0000</v>
      </c>
      <c r="H1326" s="2" t="str">
        <f>IF(Table1[[#This Row],[Major Group]]&lt;&gt;"","n/a",IF(Table1[[#This Row],[Minor Group]]&lt;&gt;"",Table1[[#This Row],[Minor Group]],H1325))</f>
        <v>51-9000</v>
      </c>
      <c r="I1326" s="2" t="str">
        <f>IF(Table1[[#This Row],[Major Group]]&lt;&gt;"","n/a",IF(Table1[[#This Row],[Minor Group]]&lt;&gt;"","n/a",IF(Table1[[#This Row],[Broad Group]]&lt;&gt;"",Table1[[#This Row],[Broad Group]],I1325)))</f>
        <v>51-9190</v>
      </c>
      <c r="J13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Occupation]],J1325))))</f>
        <v>51-9197</v>
      </c>
      <c r="K1326" s="2" t="str">
        <f>Table1[[#This Row],[Group Name]]</f>
        <v>Tire Builders</v>
      </c>
    </row>
    <row r="1327" spans="3:11" x14ac:dyDescent="0.25">
      <c r="D1327" s="5" t="s">
        <v>2407</v>
      </c>
      <c r="E1327" s="5" t="s">
        <v>2408</v>
      </c>
      <c r="F13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7" s="2" t="str">
        <f>IF(Table1[[#This Row],[Type]]="Major",Table1[[#This Row],[Major Group]],G1326)</f>
        <v>51-0000</v>
      </c>
      <c r="H1327" s="2" t="str">
        <f>IF(Table1[[#This Row],[Major Group]]&lt;&gt;"","n/a",IF(Table1[[#This Row],[Minor Group]]&lt;&gt;"",Table1[[#This Row],[Minor Group]],H1326))</f>
        <v>51-9000</v>
      </c>
      <c r="I1327" s="2" t="str">
        <f>IF(Table1[[#This Row],[Major Group]]&lt;&gt;"","n/a",IF(Table1[[#This Row],[Minor Group]]&lt;&gt;"","n/a",IF(Table1[[#This Row],[Broad Group]]&lt;&gt;"",Table1[[#This Row],[Broad Group]],I1326)))</f>
        <v>51-9190</v>
      </c>
      <c r="J13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Occupation]],J1326))))</f>
        <v>51-9198</v>
      </c>
      <c r="K1327" s="2" t="str">
        <f>Table1[[#This Row],[Group Name]]</f>
        <v>Helpers--Production Workers</v>
      </c>
    </row>
    <row r="1328" spans="3:11" x14ac:dyDescent="0.25">
      <c r="D1328" s="5" t="s">
        <v>2409</v>
      </c>
      <c r="E1328" s="5" t="s">
        <v>2410</v>
      </c>
      <c r="F13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28" s="2" t="str">
        <f>IF(Table1[[#This Row],[Type]]="Major",Table1[[#This Row],[Major Group]],G1327)</f>
        <v>51-0000</v>
      </c>
      <c r="H1328" s="2" t="str">
        <f>IF(Table1[[#This Row],[Major Group]]&lt;&gt;"","n/a",IF(Table1[[#This Row],[Minor Group]]&lt;&gt;"",Table1[[#This Row],[Minor Group]],H1327))</f>
        <v>51-9000</v>
      </c>
      <c r="I1328" s="2" t="str">
        <f>IF(Table1[[#This Row],[Major Group]]&lt;&gt;"","n/a",IF(Table1[[#This Row],[Minor Group]]&lt;&gt;"","n/a",IF(Table1[[#This Row],[Broad Group]]&lt;&gt;"",Table1[[#This Row],[Broad Group]],I1327)))</f>
        <v>51-9190</v>
      </c>
      <c r="J13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Occupation]],J1327))))</f>
        <v>51-9199</v>
      </c>
      <c r="K1328" s="2" t="str">
        <f>Table1[[#This Row],[Group Name]]</f>
        <v>Production Workers, All Other</v>
      </c>
    </row>
    <row r="1329" spans="1:11" ht="15.75" x14ac:dyDescent="0.25">
      <c r="A1329" s="4" t="s">
        <v>2411</v>
      </c>
      <c r="E1329" s="4" t="s">
        <v>2412</v>
      </c>
      <c r="F13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1329" s="2" t="str">
        <f>IF(Table1[[#This Row],[Type]]="Major",Table1[[#This Row],[Major Group]],G1328)</f>
        <v>53-0000</v>
      </c>
      <c r="H1329" s="2" t="str">
        <f>IF(Table1[[#This Row],[Major Group]]&lt;&gt;"","n/a",IF(Table1[[#This Row],[Minor Group]]&lt;&gt;"",Table1[[#This Row],[Minor Group]],H1328))</f>
        <v>n/a</v>
      </c>
      <c r="I1329" s="2" t="str">
        <f>IF(Table1[[#This Row],[Major Group]]&lt;&gt;"","n/a",IF(Table1[[#This Row],[Minor Group]]&lt;&gt;"","n/a",IF(Table1[[#This Row],[Broad Group]]&lt;&gt;"",Table1[[#This Row],[Broad Group]],I1328)))</f>
        <v>n/a</v>
      </c>
      <c r="J13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Occupation]],J1328))))</f>
        <v>n/a</v>
      </c>
      <c r="K1329" s="2" t="str">
        <f>Table1[[#This Row],[Group Name]]</f>
        <v>Transportation and Material Moving Occupations</v>
      </c>
    </row>
    <row r="1330" spans="1:11" x14ac:dyDescent="0.25">
      <c r="B1330" s="3" t="s">
        <v>2413</v>
      </c>
      <c r="E1330" s="3" t="s">
        <v>2414</v>
      </c>
      <c r="F13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30" s="2" t="str">
        <f>IF(Table1[[#This Row],[Type]]="Major",Table1[[#This Row],[Major Group]],G1329)</f>
        <v>53-0000</v>
      </c>
      <c r="H1330" s="2" t="str">
        <f>IF(Table1[[#This Row],[Major Group]]&lt;&gt;"","n/a",IF(Table1[[#This Row],[Minor Group]]&lt;&gt;"",Table1[[#This Row],[Minor Group]],H1329))</f>
        <v>53-1000</v>
      </c>
      <c r="I1330" s="2" t="str">
        <f>IF(Table1[[#This Row],[Major Group]]&lt;&gt;"","n/a",IF(Table1[[#This Row],[Minor Group]]&lt;&gt;"","n/a",IF(Table1[[#This Row],[Broad Group]]&lt;&gt;"",Table1[[#This Row],[Broad Group]],I1329)))</f>
        <v>n/a</v>
      </c>
      <c r="J13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Occupation]],J1329))))</f>
        <v>n/a</v>
      </c>
      <c r="K1330" s="2" t="str">
        <f>Table1[[#This Row],[Group Name]]</f>
        <v>Supervisors of Transportation and Material Moving Workers</v>
      </c>
    </row>
    <row r="1331" spans="1:11" ht="45" x14ac:dyDescent="0.25">
      <c r="C1331" s="1" t="s">
        <v>2415</v>
      </c>
      <c r="E1331" s="1" t="s">
        <v>2416</v>
      </c>
      <c r="F13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31" s="2" t="str">
        <f>IF(Table1[[#This Row],[Type]]="Major",Table1[[#This Row],[Major Group]],G1330)</f>
        <v>53-0000</v>
      </c>
      <c r="H1331" s="2" t="str">
        <f>IF(Table1[[#This Row],[Major Group]]&lt;&gt;"","n/a",IF(Table1[[#This Row],[Minor Group]]&lt;&gt;"",Table1[[#This Row],[Minor Group]],H1330))</f>
        <v>53-1000</v>
      </c>
      <c r="I1331" s="2" t="str">
        <f>IF(Table1[[#This Row],[Major Group]]&lt;&gt;"","n/a",IF(Table1[[#This Row],[Minor Group]]&lt;&gt;"","n/a",IF(Table1[[#This Row],[Broad Group]]&lt;&gt;"",Table1[[#This Row],[Broad Group]],I1330)))</f>
        <v>53-1040</v>
      </c>
      <c r="J13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Occupation]],J1330))))</f>
        <v>n/a</v>
      </c>
      <c r="K1331" s="2" t="str">
        <f>Table1[[#This Row],[Group Name]]</f>
        <v>First-Line Supervisors of Transportation and Material Moving Workers</v>
      </c>
    </row>
    <row r="1332" spans="1:11" x14ac:dyDescent="0.25">
      <c r="D1332" s="5" t="s">
        <v>2417</v>
      </c>
      <c r="E1332" s="5" t="s">
        <v>2418</v>
      </c>
      <c r="F13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32" s="2" t="str">
        <f>IF(Table1[[#This Row],[Type]]="Major",Table1[[#This Row],[Major Group]],G1331)</f>
        <v>53-0000</v>
      </c>
      <c r="H1332" s="2" t="str">
        <f>IF(Table1[[#This Row],[Major Group]]&lt;&gt;"","n/a",IF(Table1[[#This Row],[Minor Group]]&lt;&gt;"",Table1[[#This Row],[Minor Group]],H1331))</f>
        <v>53-1000</v>
      </c>
      <c r="I1332" s="2" t="str">
        <f>IF(Table1[[#This Row],[Major Group]]&lt;&gt;"","n/a",IF(Table1[[#This Row],[Minor Group]]&lt;&gt;"","n/a",IF(Table1[[#This Row],[Broad Group]]&lt;&gt;"",Table1[[#This Row],[Broad Group]],I1331)))</f>
        <v>53-1040</v>
      </c>
      <c r="J13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Occupation]],J1331))))</f>
        <v>53-1041</v>
      </c>
      <c r="K1332" s="2" t="str">
        <f>Table1[[#This Row],[Group Name]]</f>
        <v>Aircraft Cargo Handling Supervisors</v>
      </c>
    </row>
    <row r="1333" spans="1:11" ht="25.5" x14ac:dyDescent="0.25">
      <c r="D1333" s="5" t="s">
        <v>2419</v>
      </c>
      <c r="E1333" s="5" t="s">
        <v>2420</v>
      </c>
      <c r="F13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33" s="2" t="str">
        <f>IF(Table1[[#This Row],[Type]]="Major",Table1[[#This Row],[Major Group]],G1332)</f>
        <v>53-0000</v>
      </c>
      <c r="H1333" s="2" t="str">
        <f>IF(Table1[[#This Row],[Major Group]]&lt;&gt;"","n/a",IF(Table1[[#This Row],[Minor Group]]&lt;&gt;"",Table1[[#This Row],[Minor Group]],H1332))</f>
        <v>53-1000</v>
      </c>
      <c r="I1333" s="2" t="str">
        <f>IF(Table1[[#This Row],[Major Group]]&lt;&gt;"","n/a",IF(Table1[[#This Row],[Minor Group]]&lt;&gt;"","n/a",IF(Table1[[#This Row],[Broad Group]]&lt;&gt;"",Table1[[#This Row],[Broad Group]],I1332)))</f>
        <v>53-1040</v>
      </c>
      <c r="J13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Occupation]],J1332))))</f>
        <v>53-1042</v>
      </c>
      <c r="K1333" s="2" t="str">
        <f>Table1[[#This Row],[Group Name]]</f>
        <v>First-Line Supervisors of Helpers, Laborers, and Material Movers, Hand</v>
      </c>
    </row>
    <row r="1334" spans="1:11" ht="38.25" x14ac:dyDescent="0.25">
      <c r="D1334" s="5" t="s">
        <v>2421</v>
      </c>
      <c r="E1334" s="5" t="s">
        <v>2422</v>
      </c>
      <c r="F13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34" s="2" t="str">
        <f>IF(Table1[[#This Row],[Type]]="Major",Table1[[#This Row],[Major Group]],G1333)</f>
        <v>53-0000</v>
      </c>
      <c r="H1334" s="2" t="str">
        <f>IF(Table1[[#This Row],[Major Group]]&lt;&gt;"","n/a",IF(Table1[[#This Row],[Minor Group]]&lt;&gt;"",Table1[[#This Row],[Minor Group]],H1333))</f>
        <v>53-1000</v>
      </c>
      <c r="I1334" s="2" t="str">
        <f>IF(Table1[[#This Row],[Major Group]]&lt;&gt;"","n/a",IF(Table1[[#This Row],[Minor Group]]&lt;&gt;"","n/a",IF(Table1[[#This Row],[Broad Group]]&lt;&gt;"",Table1[[#This Row],[Broad Group]],I1333)))</f>
        <v>53-1040</v>
      </c>
      <c r="J13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Occupation]],J1333))))</f>
        <v>53-1043</v>
      </c>
      <c r="K1334" s="2" t="str">
        <f>Table1[[#This Row],[Group Name]]</f>
        <v>First-Line Supervisors of Material-Moving Machine and Vehicle Operators</v>
      </c>
    </row>
    <row r="1335" spans="1:11" ht="25.5" x14ac:dyDescent="0.25">
      <c r="D1335" s="5" t="s">
        <v>2423</v>
      </c>
      <c r="E1335" s="5" t="s">
        <v>2424</v>
      </c>
      <c r="F13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35" s="2" t="str">
        <f>IF(Table1[[#This Row],[Type]]="Major",Table1[[#This Row],[Major Group]],G1334)</f>
        <v>53-0000</v>
      </c>
      <c r="H1335" s="2" t="str">
        <f>IF(Table1[[#This Row],[Major Group]]&lt;&gt;"","n/a",IF(Table1[[#This Row],[Minor Group]]&lt;&gt;"",Table1[[#This Row],[Minor Group]],H1334))</f>
        <v>53-1000</v>
      </c>
      <c r="I1335" s="2" t="str">
        <f>IF(Table1[[#This Row],[Major Group]]&lt;&gt;"","n/a",IF(Table1[[#This Row],[Minor Group]]&lt;&gt;"","n/a",IF(Table1[[#This Row],[Broad Group]]&lt;&gt;"",Table1[[#This Row],[Broad Group]],I1334)))</f>
        <v>53-1040</v>
      </c>
      <c r="J13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Occupation]],J1334))))</f>
        <v>53-1044</v>
      </c>
      <c r="K1335" s="2" t="str">
        <f>Table1[[#This Row],[Group Name]]</f>
        <v>First-Line Supervisors of Passenger Attendants</v>
      </c>
    </row>
    <row r="1336" spans="1:11" ht="25.5" x14ac:dyDescent="0.25">
      <c r="D1336" s="5" t="s">
        <v>2425</v>
      </c>
      <c r="E1336" s="5" t="s">
        <v>2426</v>
      </c>
      <c r="F13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36" s="2" t="str">
        <f>IF(Table1[[#This Row],[Type]]="Major",Table1[[#This Row],[Major Group]],G1335)</f>
        <v>53-0000</v>
      </c>
      <c r="H1336" s="2" t="str">
        <f>IF(Table1[[#This Row],[Major Group]]&lt;&gt;"","n/a",IF(Table1[[#This Row],[Minor Group]]&lt;&gt;"",Table1[[#This Row],[Minor Group]],H1335))</f>
        <v>53-1000</v>
      </c>
      <c r="I1336" s="2" t="str">
        <f>IF(Table1[[#This Row],[Major Group]]&lt;&gt;"","n/a",IF(Table1[[#This Row],[Minor Group]]&lt;&gt;"","n/a",IF(Table1[[#This Row],[Broad Group]]&lt;&gt;"",Table1[[#This Row],[Broad Group]],I1335)))</f>
        <v>53-1040</v>
      </c>
      <c r="J13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Occupation]],J1335))))</f>
        <v>53-1049</v>
      </c>
      <c r="K1336" s="2" t="str">
        <f>Table1[[#This Row],[Group Name]]</f>
        <v>First-Line Supervisors of Transportation Workers, All Other</v>
      </c>
    </row>
    <row r="1337" spans="1:11" x14ac:dyDescent="0.25">
      <c r="B1337" s="3" t="s">
        <v>2427</v>
      </c>
      <c r="E1337" s="3" t="s">
        <v>2428</v>
      </c>
      <c r="F13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37" s="2" t="str">
        <f>IF(Table1[[#This Row],[Type]]="Major",Table1[[#This Row],[Major Group]],G1336)</f>
        <v>53-0000</v>
      </c>
      <c r="H1337" s="2" t="str">
        <f>IF(Table1[[#This Row],[Major Group]]&lt;&gt;"","n/a",IF(Table1[[#This Row],[Minor Group]]&lt;&gt;"",Table1[[#This Row],[Minor Group]],H1336))</f>
        <v>53-2000</v>
      </c>
      <c r="I1337" s="2" t="str">
        <f>IF(Table1[[#This Row],[Major Group]]&lt;&gt;"","n/a",IF(Table1[[#This Row],[Minor Group]]&lt;&gt;"","n/a",IF(Table1[[#This Row],[Broad Group]]&lt;&gt;"",Table1[[#This Row],[Broad Group]],I1336)))</f>
        <v>n/a</v>
      </c>
      <c r="J13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Occupation]],J1336))))</f>
        <v>n/a</v>
      </c>
      <c r="K1337" s="2" t="str">
        <f>Table1[[#This Row],[Group Name]]</f>
        <v>Air Transportation Workers</v>
      </c>
    </row>
    <row r="1338" spans="1:11" x14ac:dyDescent="0.25">
      <c r="C1338" s="1" t="s">
        <v>2429</v>
      </c>
      <c r="E1338" s="1" t="s">
        <v>2430</v>
      </c>
      <c r="F13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38" s="2" t="str">
        <f>IF(Table1[[#This Row],[Type]]="Major",Table1[[#This Row],[Major Group]],G1337)</f>
        <v>53-0000</v>
      </c>
      <c r="H1338" s="2" t="str">
        <f>IF(Table1[[#This Row],[Major Group]]&lt;&gt;"","n/a",IF(Table1[[#This Row],[Minor Group]]&lt;&gt;"",Table1[[#This Row],[Minor Group]],H1337))</f>
        <v>53-2000</v>
      </c>
      <c r="I1338" s="2" t="str">
        <f>IF(Table1[[#This Row],[Major Group]]&lt;&gt;"","n/a",IF(Table1[[#This Row],[Minor Group]]&lt;&gt;"","n/a",IF(Table1[[#This Row],[Broad Group]]&lt;&gt;"",Table1[[#This Row],[Broad Group]],I1337)))</f>
        <v>53-2010</v>
      </c>
      <c r="J13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Occupation]],J1337))))</f>
        <v>n/a</v>
      </c>
      <c r="K1338" s="2" t="str">
        <f>Table1[[#This Row],[Group Name]]</f>
        <v>Aircraft Pilots and Flight Engineers</v>
      </c>
    </row>
    <row r="1339" spans="1:11" ht="25.5" x14ac:dyDescent="0.25">
      <c r="D1339" s="5" t="s">
        <v>2431</v>
      </c>
      <c r="E1339" s="5" t="s">
        <v>2432</v>
      </c>
      <c r="F13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39" s="2" t="str">
        <f>IF(Table1[[#This Row],[Type]]="Major",Table1[[#This Row],[Major Group]],G1338)</f>
        <v>53-0000</v>
      </c>
      <c r="H1339" s="2" t="str">
        <f>IF(Table1[[#This Row],[Major Group]]&lt;&gt;"","n/a",IF(Table1[[#This Row],[Minor Group]]&lt;&gt;"",Table1[[#This Row],[Minor Group]],H1338))</f>
        <v>53-2000</v>
      </c>
      <c r="I1339" s="2" t="str">
        <f>IF(Table1[[#This Row],[Major Group]]&lt;&gt;"","n/a",IF(Table1[[#This Row],[Minor Group]]&lt;&gt;"","n/a",IF(Table1[[#This Row],[Broad Group]]&lt;&gt;"",Table1[[#This Row],[Broad Group]],I1338)))</f>
        <v>53-2010</v>
      </c>
      <c r="J13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Occupation]],J1338))))</f>
        <v>53-2011</v>
      </c>
      <c r="K1339" s="2" t="str">
        <f>Table1[[#This Row],[Group Name]]</f>
        <v>Airline Pilots, Copilots, and Flight Engineers</v>
      </c>
    </row>
    <row r="1340" spans="1:11" x14ac:dyDescent="0.25">
      <c r="D1340" s="5" t="s">
        <v>2433</v>
      </c>
      <c r="E1340" s="5" t="s">
        <v>2434</v>
      </c>
      <c r="F13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40" s="2" t="str">
        <f>IF(Table1[[#This Row],[Type]]="Major",Table1[[#This Row],[Major Group]],G1339)</f>
        <v>53-0000</v>
      </c>
      <c r="H1340" s="2" t="str">
        <f>IF(Table1[[#This Row],[Major Group]]&lt;&gt;"","n/a",IF(Table1[[#This Row],[Minor Group]]&lt;&gt;"",Table1[[#This Row],[Minor Group]],H1339))</f>
        <v>53-2000</v>
      </c>
      <c r="I1340" s="2" t="str">
        <f>IF(Table1[[#This Row],[Major Group]]&lt;&gt;"","n/a",IF(Table1[[#This Row],[Minor Group]]&lt;&gt;"","n/a",IF(Table1[[#This Row],[Broad Group]]&lt;&gt;"",Table1[[#This Row],[Broad Group]],I1339)))</f>
        <v>53-2010</v>
      </c>
      <c r="J13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Occupation]],J1339))))</f>
        <v>53-2012</v>
      </c>
      <c r="K1340" s="2" t="str">
        <f>Table1[[#This Row],[Group Name]]</f>
        <v>Commercial Pilots</v>
      </c>
    </row>
    <row r="1341" spans="1:11" ht="30" x14ac:dyDescent="0.25">
      <c r="C1341" s="1" t="s">
        <v>2435</v>
      </c>
      <c r="E1341" s="1" t="s">
        <v>2436</v>
      </c>
      <c r="F13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41" s="2" t="str">
        <f>IF(Table1[[#This Row],[Type]]="Major",Table1[[#This Row],[Major Group]],G1340)</f>
        <v>53-0000</v>
      </c>
      <c r="H1341" s="2" t="str">
        <f>IF(Table1[[#This Row],[Major Group]]&lt;&gt;"","n/a",IF(Table1[[#This Row],[Minor Group]]&lt;&gt;"",Table1[[#This Row],[Minor Group]],H1340))</f>
        <v>53-2000</v>
      </c>
      <c r="I1341" s="2" t="str">
        <f>IF(Table1[[#This Row],[Major Group]]&lt;&gt;"","n/a",IF(Table1[[#This Row],[Minor Group]]&lt;&gt;"","n/a",IF(Table1[[#This Row],[Broad Group]]&lt;&gt;"",Table1[[#This Row],[Broad Group]],I1340)))</f>
        <v>53-2020</v>
      </c>
      <c r="J13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Occupation]],J1340))))</f>
        <v>n/a</v>
      </c>
      <c r="K1341" s="2" t="str">
        <f>Table1[[#This Row],[Group Name]]</f>
        <v>Air Traffic Controllers and Airfield Operations Specialists</v>
      </c>
    </row>
    <row r="1342" spans="1:11" x14ac:dyDescent="0.25">
      <c r="D1342" s="5" t="s">
        <v>2437</v>
      </c>
      <c r="E1342" s="5" t="s">
        <v>2438</v>
      </c>
      <c r="F13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42" s="2" t="str">
        <f>IF(Table1[[#This Row],[Type]]="Major",Table1[[#This Row],[Major Group]],G1341)</f>
        <v>53-0000</v>
      </c>
      <c r="H1342" s="2" t="str">
        <f>IF(Table1[[#This Row],[Major Group]]&lt;&gt;"","n/a",IF(Table1[[#This Row],[Minor Group]]&lt;&gt;"",Table1[[#This Row],[Minor Group]],H1341))</f>
        <v>53-2000</v>
      </c>
      <c r="I1342" s="2" t="str">
        <f>IF(Table1[[#This Row],[Major Group]]&lt;&gt;"","n/a",IF(Table1[[#This Row],[Minor Group]]&lt;&gt;"","n/a",IF(Table1[[#This Row],[Broad Group]]&lt;&gt;"",Table1[[#This Row],[Broad Group]],I1341)))</f>
        <v>53-2020</v>
      </c>
      <c r="J13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Occupation]],J1341))))</f>
        <v>53-2021</v>
      </c>
      <c r="K1342" s="2" t="str">
        <f>Table1[[#This Row],[Group Name]]</f>
        <v>Air Traffic Controllers</v>
      </c>
    </row>
    <row r="1343" spans="1:11" x14ac:dyDescent="0.25">
      <c r="D1343" s="5" t="s">
        <v>2439</v>
      </c>
      <c r="E1343" s="5" t="s">
        <v>2440</v>
      </c>
      <c r="F13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43" s="2" t="str">
        <f>IF(Table1[[#This Row],[Type]]="Major",Table1[[#This Row],[Major Group]],G1342)</f>
        <v>53-0000</v>
      </c>
      <c r="H1343" s="2" t="str">
        <f>IF(Table1[[#This Row],[Major Group]]&lt;&gt;"","n/a",IF(Table1[[#This Row],[Minor Group]]&lt;&gt;"",Table1[[#This Row],[Minor Group]],H1342))</f>
        <v>53-2000</v>
      </c>
      <c r="I1343" s="2" t="str">
        <f>IF(Table1[[#This Row],[Major Group]]&lt;&gt;"","n/a",IF(Table1[[#This Row],[Minor Group]]&lt;&gt;"","n/a",IF(Table1[[#This Row],[Broad Group]]&lt;&gt;"",Table1[[#This Row],[Broad Group]],I1342)))</f>
        <v>53-2020</v>
      </c>
      <c r="J13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Occupation]],J1342))))</f>
        <v>53-2022</v>
      </c>
      <c r="K1343" s="2" t="str">
        <f>Table1[[#This Row],[Group Name]]</f>
        <v>Airfield Operations Specialists</v>
      </c>
    </row>
    <row r="1344" spans="1:11" x14ac:dyDescent="0.25">
      <c r="C1344" s="1" t="s">
        <v>2441</v>
      </c>
      <c r="E1344" s="1" t="s">
        <v>2442</v>
      </c>
      <c r="F13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44" s="2" t="str">
        <f>IF(Table1[[#This Row],[Type]]="Major",Table1[[#This Row],[Major Group]],G1343)</f>
        <v>53-0000</v>
      </c>
      <c r="H1344" s="2" t="str">
        <f>IF(Table1[[#This Row],[Major Group]]&lt;&gt;"","n/a",IF(Table1[[#This Row],[Minor Group]]&lt;&gt;"",Table1[[#This Row],[Minor Group]],H1343))</f>
        <v>53-2000</v>
      </c>
      <c r="I1344" s="2" t="str">
        <f>IF(Table1[[#This Row],[Major Group]]&lt;&gt;"","n/a",IF(Table1[[#This Row],[Minor Group]]&lt;&gt;"","n/a",IF(Table1[[#This Row],[Broad Group]]&lt;&gt;"",Table1[[#This Row],[Broad Group]],I1343)))</f>
        <v>53-2030</v>
      </c>
      <c r="J13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Occupation]],J1343))))</f>
        <v>n/a</v>
      </c>
      <c r="K1344" s="2" t="str">
        <f>Table1[[#This Row],[Group Name]]</f>
        <v>Flight Attendants</v>
      </c>
    </row>
    <row r="1345" spans="2:11" x14ac:dyDescent="0.25">
      <c r="D1345" s="5" t="s">
        <v>2443</v>
      </c>
      <c r="E1345" s="5" t="s">
        <v>2442</v>
      </c>
      <c r="F13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45" s="2" t="str">
        <f>IF(Table1[[#This Row],[Type]]="Major",Table1[[#This Row],[Major Group]],G1344)</f>
        <v>53-0000</v>
      </c>
      <c r="H1345" s="2" t="str">
        <f>IF(Table1[[#This Row],[Major Group]]&lt;&gt;"","n/a",IF(Table1[[#This Row],[Minor Group]]&lt;&gt;"",Table1[[#This Row],[Minor Group]],H1344))</f>
        <v>53-2000</v>
      </c>
      <c r="I1345" s="2" t="str">
        <f>IF(Table1[[#This Row],[Major Group]]&lt;&gt;"","n/a",IF(Table1[[#This Row],[Minor Group]]&lt;&gt;"","n/a",IF(Table1[[#This Row],[Broad Group]]&lt;&gt;"",Table1[[#This Row],[Broad Group]],I1344)))</f>
        <v>53-2030</v>
      </c>
      <c r="J13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Occupation]],J1344))))</f>
        <v>53-2031</v>
      </c>
      <c r="K1345" s="2" t="str">
        <f>Table1[[#This Row],[Group Name]]</f>
        <v>Flight Attendants</v>
      </c>
    </row>
    <row r="1346" spans="2:11" x14ac:dyDescent="0.25">
      <c r="B1346" s="3" t="s">
        <v>2444</v>
      </c>
      <c r="E1346" s="3" t="s">
        <v>2445</v>
      </c>
      <c r="F13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46" s="2" t="str">
        <f>IF(Table1[[#This Row],[Type]]="Major",Table1[[#This Row],[Major Group]],G1345)</f>
        <v>53-0000</v>
      </c>
      <c r="H1346" s="2" t="str">
        <f>IF(Table1[[#This Row],[Major Group]]&lt;&gt;"","n/a",IF(Table1[[#This Row],[Minor Group]]&lt;&gt;"",Table1[[#This Row],[Minor Group]],H1345))</f>
        <v>53-3000</v>
      </c>
      <c r="I1346" s="2" t="str">
        <f>IF(Table1[[#This Row],[Major Group]]&lt;&gt;"","n/a",IF(Table1[[#This Row],[Minor Group]]&lt;&gt;"","n/a",IF(Table1[[#This Row],[Broad Group]]&lt;&gt;"",Table1[[#This Row],[Broad Group]],I1345)))</f>
        <v>n/a</v>
      </c>
      <c r="J13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Occupation]],J1345))))</f>
        <v>n/a</v>
      </c>
      <c r="K1346" s="2" t="str">
        <f>Table1[[#This Row],[Group Name]]</f>
        <v>Motor Vehicle Operators</v>
      </c>
    </row>
    <row r="1347" spans="2:11" ht="45" x14ac:dyDescent="0.25">
      <c r="C1347" s="1" t="s">
        <v>2446</v>
      </c>
      <c r="E1347" s="1" t="s">
        <v>2447</v>
      </c>
      <c r="F13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47" s="2" t="str">
        <f>IF(Table1[[#This Row],[Type]]="Major",Table1[[#This Row],[Major Group]],G1346)</f>
        <v>53-0000</v>
      </c>
      <c r="H1347" s="2" t="str">
        <f>IF(Table1[[#This Row],[Major Group]]&lt;&gt;"","n/a",IF(Table1[[#This Row],[Minor Group]]&lt;&gt;"",Table1[[#This Row],[Minor Group]],H1346))</f>
        <v>53-3000</v>
      </c>
      <c r="I1347" s="2" t="str">
        <f>IF(Table1[[#This Row],[Major Group]]&lt;&gt;"","n/a",IF(Table1[[#This Row],[Minor Group]]&lt;&gt;"","n/a",IF(Table1[[#This Row],[Broad Group]]&lt;&gt;"",Table1[[#This Row],[Broad Group]],I1346)))</f>
        <v>53-3010</v>
      </c>
      <c r="J13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Occupation]],J1346))))</f>
        <v>n/a</v>
      </c>
      <c r="K1347" s="2" t="str">
        <f>Table1[[#This Row],[Group Name]]</f>
        <v>Ambulance Drivers and Attendants, Except Emergency Medical Technicians</v>
      </c>
    </row>
    <row r="1348" spans="2:11" ht="25.5" x14ac:dyDescent="0.25">
      <c r="D1348" s="5" t="s">
        <v>2448</v>
      </c>
      <c r="E1348" s="5" t="s">
        <v>2447</v>
      </c>
      <c r="F13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48" s="2" t="str">
        <f>IF(Table1[[#This Row],[Type]]="Major",Table1[[#This Row],[Major Group]],G1347)</f>
        <v>53-0000</v>
      </c>
      <c r="H1348" s="2" t="str">
        <f>IF(Table1[[#This Row],[Major Group]]&lt;&gt;"","n/a",IF(Table1[[#This Row],[Minor Group]]&lt;&gt;"",Table1[[#This Row],[Minor Group]],H1347))</f>
        <v>53-3000</v>
      </c>
      <c r="I1348" s="2" t="str">
        <f>IF(Table1[[#This Row],[Major Group]]&lt;&gt;"","n/a",IF(Table1[[#This Row],[Minor Group]]&lt;&gt;"","n/a",IF(Table1[[#This Row],[Broad Group]]&lt;&gt;"",Table1[[#This Row],[Broad Group]],I1347)))</f>
        <v>53-3010</v>
      </c>
      <c r="J13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Occupation]],J1347))))</f>
        <v>53-3011</v>
      </c>
      <c r="K1348" s="2" t="str">
        <f>Table1[[#This Row],[Group Name]]</f>
        <v>Ambulance Drivers and Attendants, Except Emergency Medical Technicians</v>
      </c>
    </row>
    <row r="1349" spans="2:11" ht="30" x14ac:dyDescent="0.25">
      <c r="C1349" s="1" t="s">
        <v>2449</v>
      </c>
      <c r="E1349" s="1" t="s">
        <v>2450</v>
      </c>
      <c r="F134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49" s="2" t="str">
        <f>IF(Table1[[#This Row],[Type]]="Major",Table1[[#This Row],[Major Group]],G1348)</f>
        <v>53-0000</v>
      </c>
      <c r="H1349" s="2" t="str">
        <f>IF(Table1[[#This Row],[Major Group]]&lt;&gt;"","n/a",IF(Table1[[#This Row],[Minor Group]]&lt;&gt;"",Table1[[#This Row],[Minor Group]],H1348))</f>
        <v>53-3000</v>
      </c>
      <c r="I1349" s="2" t="str">
        <f>IF(Table1[[#This Row],[Major Group]]&lt;&gt;"","n/a",IF(Table1[[#This Row],[Minor Group]]&lt;&gt;"","n/a",IF(Table1[[#This Row],[Broad Group]]&lt;&gt;"",Table1[[#This Row],[Broad Group]],I1348)))</f>
        <v>53-3030</v>
      </c>
      <c r="J134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Occupation]],J1348))))</f>
        <v>n/a</v>
      </c>
      <c r="K1349" s="2" t="str">
        <f>Table1[[#This Row],[Group Name]]</f>
        <v>Driver/Sales Workers and Truck Drivers</v>
      </c>
    </row>
    <row r="1350" spans="2:11" x14ac:dyDescent="0.25">
      <c r="D1350" s="5" t="s">
        <v>2451</v>
      </c>
      <c r="E1350" s="5" t="s">
        <v>2452</v>
      </c>
      <c r="F135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0" s="2" t="str">
        <f>IF(Table1[[#This Row],[Type]]="Major",Table1[[#This Row],[Major Group]],G1349)</f>
        <v>53-0000</v>
      </c>
      <c r="H1350" s="2" t="str">
        <f>IF(Table1[[#This Row],[Major Group]]&lt;&gt;"","n/a",IF(Table1[[#This Row],[Minor Group]]&lt;&gt;"",Table1[[#This Row],[Minor Group]],H1349))</f>
        <v>53-3000</v>
      </c>
      <c r="I1350" s="2" t="str">
        <f>IF(Table1[[#This Row],[Major Group]]&lt;&gt;"","n/a",IF(Table1[[#This Row],[Minor Group]]&lt;&gt;"","n/a",IF(Table1[[#This Row],[Broad Group]]&lt;&gt;"",Table1[[#This Row],[Broad Group]],I1349)))</f>
        <v>53-3030</v>
      </c>
      <c r="J135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Occupation]],J1349))))</f>
        <v>53-3031</v>
      </c>
      <c r="K1350" s="2" t="str">
        <f>Table1[[#This Row],[Group Name]]</f>
        <v>Driver/Sales Workers</v>
      </c>
    </row>
    <row r="1351" spans="2:11" ht="25.5" x14ac:dyDescent="0.25">
      <c r="D1351" s="5" t="s">
        <v>2453</v>
      </c>
      <c r="E1351" s="5" t="s">
        <v>2454</v>
      </c>
      <c r="F135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1" s="2" t="str">
        <f>IF(Table1[[#This Row],[Type]]="Major",Table1[[#This Row],[Major Group]],G1350)</f>
        <v>53-0000</v>
      </c>
      <c r="H1351" s="2" t="str">
        <f>IF(Table1[[#This Row],[Major Group]]&lt;&gt;"","n/a",IF(Table1[[#This Row],[Minor Group]]&lt;&gt;"",Table1[[#This Row],[Minor Group]],H1350))</f>
        <v>53-3000</v>
      </c>
      <c r="I1351" s="2" t="str">
        <f>IF(Table1[[#This Row],[Major Group]]&lt;&gt;"","n/a",IF(Table1[[#This Row],[Minor Group]]&lt;&gt;"","n/a",IF(Table1[[#This Row],[Broad Group]]&lt;&gt;"",Table1[[#This Row],[Broad Group]],I1350)))</f>
        <v>53-3030</v>
      </c>
      <c r="J135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Occupation]],J1350))))</f>
        <v>53-3032</v>
      </c>
      <c r="K1351" s="2" t="str">
        <f>Table1[[#This Row],[Group Name]]</f>
        <v>Heavy and Tractor-Trailer Truck Drivers</v>
      </c>
    </row>
    <row r="1352" spans="2:11" x14ac:dyDescent="0.25">
      <c r="D1352" s="5" t="s">
        <v>2455</v>
      </c>
      <c r="E1352" s="5" t="s">
        <v>2456</v>
      </c>
      <c r="F135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2" s="2" t="str">
        <f>IF(Table1[[#This Row],[Type]]="Major",Table1[[#This Row],[Major Group]],G1351)</f>
        <v>53-0000</v>
      </c>
      <c r="H1352" s="2" t="str">
        <f>IF(Table1[[#This Row],[Major Group]]&lt;&gt;"","n/a",IF(Table1[[#This Row],[Minor Group]]&lt;&gt;"",Table1[[#This Row],[Minor Group]],H1351))</f>
        <v>53-3000</v>
      </c>
      <c r="I1352" s="2" t="str">
        <f>IF(Table1[[#This Row],[Major Group]]&lt;&gt;"","n/a",IF(Table1[[#This Row],[Minor Group]]&lt;&gt;"","n/a",IF(Table1[[#This Row],[Broad Group]]&lt;&gt;"",Table1[[#This Row],[Broad Group]],I1351)))</f>
        <v>53-3030</v>
      </c>
      <c r="J135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Occupation]],J1351))))</f>
        <v>53-3033</v>
      </c>
      <c r="K1352" s="2" t="str">
        <f>Table1[[#This Row],[Group Name]]</f>
        <v>Light Truck Drivers</v>
      </c>
    </row>
    <row r="1353" spans="2:11" x14ac:dyDescent="0.25">
      <c r="C1353" s="1" t="s">
        <v>2457</v>
      </c>
      <c r="E1353" s="1" t="s">
        <v>2458</v>
      </c>
      <c r="F135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53" s="2" t="str">
        <f>IF(Table1[[#This Row],[Type]]="Major",Table1[[#This Row],[Major Group]],G1352)</f>
        <v>53-0000</v>
      </c>
      <c r="H1353" s="2" t="str">
        <f>IF(Table1[[#This Row],[Major Group]]&lt;&gt;"","n/a",IF(Table1[[#This Row],[Minor Group]]&lt;&gt;"",Table1[[#This Row],[Minor Group]],H1352))</f>
        <v>53-3000</v>
      </c>
      <c r="I1353" s="2" t="str">
        <f>IF(Table1[[#This Row],[Major Group]]&lt;&gt;"","n/a",IF(Table1[[#This Row],[Minor Group]]&lt;&gt;"","n/a",IF(Table1[[#This Row],[Broad Group]]&lt;&gt;"",Table1[[#This Row],[Broad Group]],I1352)))</f>
        <v>53-3050</v>
      </c>
      <c r="J135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Occupation]],J1352))))</f>
        <v>n/a</v>
      </c>
      <c r="K1353" s="2" t="str">
        <f>Table1[[#This Row],[Group Name]]</f>
        <v>Passenger Vehicle Drivers</v>
      </c>
    </row>
    <row r="1354" spans="2:11" x14ac:dyDescent="0.25">
      <c r="D1354" s="5" t="s">
        <v>2459</v>
      </c>
      <c r="E1354" s="5" t="s">
        <v>2460</v>
      </c>
      <c r="F135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4" s="2" t="str">
        <f>IF(Table1[[#This Row],[Type]]="Major",Table1[[#This Row],[Major Group]],G1353)</f>
        <v>53-0000</v>
      </c>
      <c r="H1354" s="2" t="str">
        <f>IF(Table1[[#This Row],[Major Group]]&lt;&gt;"","n/a",IF(Table1[[#This Row],[Minor Group]]&lt;&gt;"",Table1[[#This Row],[Minor Group]],H1353))</f>
        <v>53-3000</v>
      </c>
      <c r="I1354" s="2" t="str">
        <f>IF(Table1[[#This Row],[Major Group]]&lt;&gt;"","n/a",IF(Table1[[#This Row],[Minor Group]]&lt;&gt;"","n/a",IF(Table1[[#This Row],[Broad Group]]&lt;&gt;"",Table1[[#This Row],[Broad Group]],I1353)))</f>
        <v>53-3050</v>
      </c>
      <c r="J135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Occupation]],J1353))))</f>
        <v>53-3051</v>
      </c>
      <c r="K1354" s="2" t="str">
        <f>Table1[[#This Row],[Group Name]]</f>
        <v>Bus Drivers, School</v>
      </c>
    </row>
    <row r="1355" spans="2:11" x14ac:dyDescent="0.25">
      <c r="D1355" s="5" t="s">
        <v>2461</v>
      </c>
      <c r="E1355" s="5" t="s">
        <v>2462</v>
      </c>
      <c r="F135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5" s="2" t="str">
        <f>IF(Table1[[#This Row],[Type]]="Major",Table1[[#This Row],[Major Group]],G1354)</f>
        <v>53-0000</v>
      </c>
      <c r="H1355" s="2" t="str">
        <f>IF(Table1[[#This Row],[Major Group]]&lt;&gt;"","n/a",IF(Table1[[#This Row],[Minor Group]]&lt;&gt;"",Table1[[#This Row],[Minor Group]],H1354))</f>
        <v>53-3000</v>
      </c>
      <c r="I1355" s="2" t="str">
        <f>IF(Table1[[#This Row],[Major Group]]&lt;&gt;"","n/a",IF(Table1[[#This Row],[Minor Group]]&lt;&gt;"","n/a",IF(Table1[[#This Row],[Broad Group]]&lt;&gt;"",Table1[[#This Row],[Broad Group]],I1354)))</f>
        <v>53-3050</v>
      </c>
      <c r="J135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Occupation]],J1354))))</f>
        <v>53-3052</v>
      </c>
      <c r="K1355" s="2" t="str">
        <f>Table1[[#This Row],[Group Name]]</f>
        <v>Bus Drivers, Transit and Intercity</v>
      </c>
    </row>
    <row r="1356" spans="2:11" x14ac:dyDescent="0.25">
      <c r="D1356" s="5" t="s">
        <v>2463</v>
      </c>
      <c r="E1356" s="5" t="s">
        <v>2464</v>
      </c>
      <c r="F135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6" s="2" t="str">
        <f>IF(Table1[[#This Row],[Type]]="Major",Table1[[#This Row],[Major Group]],G1355)</f>
        <v>53-0000</v>
      </c>
      <c r="H1356" s="2" t="str">
        <f>IF(Table1[[#This Row],[Major Group]]&lt;&gt;"","n/a",IF(Table1[[#This Row],[Minor Group]]&lt;&gt;"",Table1[[#This Row],[Minor Group]],H1355))</f>
        <v>53-3000</v>
      </c>
      <c r="I1356" s="2" t="str">
        <f>IF(Table1[[#This Row],[Major Group]]&lt;&gt;"","n/a",IF(Table1[[#This Row],[Minor Group]]&lt;&gt;"","n/a",IF(Table1[[#This Row],[Broad Group]]&lt;&gt;"",Table1[[#This Row],[Broad Group]],I1355)))</f>
        <v>53-3050</v>
      </c>
      <c r="J135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Occupation]],J1355))))</f>
        <v>53-3053</v>
      </c>
      <c r="K1356" s="2" t="str">
        <f>Table1[[#This Row],[Group Name]]</f>
        <v>Shuttle Drivers and Chauffeurs</v>
      </c>
    </row>
    <row r="1357" spans="2:11" x14ac:dyDescent="0.25">
      <c r="D1357" s="5" t="s">
        <v>2465</v>
      </c>
      <c r="E1357" s="5" t="s">
        <v>2466</v>
      </c>
      <c r="F135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7" s="2" t="str">
        <f>IF(Table1[[#This Row],[Type]]="Major",Table1[[#This Row],[Major Group]],G1356)</f>
        <v>53-0000</v>
      </c>
      <c r="H1357" s="2" t="str">
        <f>IF(Table1[[#This Row],[Major Group]]&lt;&gt;"","n/a",IF(Table1[[#This Row],[Minor Group]]&lt;&gt;"",Table1[[#This Row],[Minor Group]],H1356))</f>
        <v>53-3000</v>
      </c>
      <c r="I1357" s="2" t="str">
        <f>IF(Table1[[#This Row],[Major Group]]&lt;&gt;"","n/a",IF(Table1[[#This Row],[Minor Group]]&lt;&gt;"","n/a",IF(Table1[[#This Row],[Broad Group]]&lt;&gt;"",Table1[[#This Row],[Broad Group]],I1356)))</f>
        <v>53-3050</v>
      </c>
      <c r="J135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Occupation]],J1356))))</f>
        <v>53-3054</v>
      </c>
      <c r="K1357" s="2" t="str">
        <f>Table1[[#This Row],[Group Name]]</f>
        <v>Taxi Drivers</v>
      </c>
    </row>
    <row r="1358" spans="2:11" ht="30" x14ac:dyDescent="0.25">
      <c r="C1358" s="1" t="s">
        <v>2467</v>
      </c>
      <c r="E1358" s="1" t="s">
        <v>2468</v>
      </c>
      <c r="F135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58" s="2" t="str">
        <f>IF(Table1[[#This Row],[Type]]="Major",Table1[[#This Row],[Major Group]],G1357)</f>
        <v>53-0000</v>
      </c>
      <c r="H1358" s="2" t="str">
        <f>IF(Table1[[#This Row],[Major Group]]&lt;&gt;"","n/a",IF(Table1[[#This Row],[Minor Group]]&lt;&gt;"",Table1[[#This Row],[Minor Group]],H1357))</f>
        <v>53-3000</v>
      </c>
      <c r="I1358" s="2" t="str">
        <f>IF(Table1[[#This Row],[Major Group]]&lt;&gt;"","n/a",IF(Table1[[#This Row],[Minor Group]]&lt;&gt;"","n/a",IF(Table1[[#This Row],[Broad Group]]&lt;&gt;"",Table1[[#This Row],[Broad Group]],I1357)))</f>
        <v>53-3090</v>
      </c>
      <c r="J135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Occupation]],J1357))))</f>
        <v>n/a</v>
      </c>
      <c r="K1358" s="2" t="str">
        <f>Table1[[#This Row],[Group Name]]</f>
        <v>Miscellaneous Motor Vehicle Operators</v>
      </c>
    </row>
    <row r="1359" spans="2:11" x14ac:dyDescent="0.25">
      <c r="D1359" s="5" t="s">
        <v>2469</v>
      </c>
      <c r="E1359" s="5" t="s">
        <v>2470</v>
      </c>
      <c r="F135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59" s="2" t="str">
        <f>IF(Table1[[#This Row],[Type]]="Major",Table1[[#This Row],[Major Group]],G1358)</f>
        <v>53-0000</v>
      </c>
      <c r="H1359" s="2" t="str">
        <f>IF(Table1[[#This Row],[Major Group]]&lt;&gt;"","n/a",IF(Table1[[#This Row],[Minor Group]]&lt;&gt;"",Table1[[#This Row],[Minor Group]],H1358))</f>
        <v>53-3000</v>
      </c>
      <c r="I1359" s="2" t="str">
        <f>IF(Table1[[#This Row],[Major Group]]&lt;&gt;"","n/a",IF(Table1[[#This Row],[Minor Group]]&lt;&gt;"","n/a",IF(Table1[[#This Row],[Broad Group]]&lt;&gt;"",Table1[[#This Row],[Broad Group]],I1358)))</f>
        <v>53-3090</v>
      </c>
      <c r="J135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Occupation]],J1358))))</f>
        <v>53-3099</v>
      </c>
      <c r="K1359" s="2" t="str">
        <f>Table1[[#This Row],[Group Name]]</f>
        <v>Motor Vehicle Operators, All Other</v>
      </c>
    </row>
    <row r="1360" spans="2:11" x14ac:dyDescent="0.25">
      <c r="B1360" s="3" t="s">
        <v>2471</v>
      </c>
      <c r="E1360" s="3" t="s">
        <v>2472</v>
      </c>
      <c r="F136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60" s="2" t="str">
        <f>IF(Table1[[#This Row],[Type]]="Major",Table1[[#This Row],[Major Group]],G1359)</f>
        <v>53-0000</v>
      </c>
      <c r="H1360" s="2" t="str">
        <f>IF(Table1[[#This Row],[Major Group]]&lt;&gt;"","n/a",IF(Table1[[#This Row],[Minor Group]]&lt;&gt;"",Table1[[#This Row],[Minor Group]],H1359))</f>
        <v>53-4000</v>
      </c>
      <c r="I1360" s="2" t="str">
        <f>IF(Table1[[#This Row],[Major Group]]&lt;&gt;"","n/a",IF(Table1[[#This Row],[Minor Group]]&lt;&gt;"","n/a",IF(Table1[[#This Row],[Broad Group]]&lt;&gt;"",Table1[[#This Row],[Broad Group]],I1359)))</f>
        <v>n/a</v>
      </c>
      <c r="J136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Occupation]],J1359))))</f>
        <v>n/a</v>
      </c>
      <c r="K1360" s="2" t="str">
        <f>Table1[[#This Row],[Group Name]]</f>
        <v>Rail Transportation Workers</v>
      </c>
    </row>
    <row r="1361" spans="2:11" ht="30" x14ac:dyDescent="0.25">
      <c r="C1361" s="1" t="s">
        <v>2473</v>
      </c>
      <c r="E1361" s="1" t="s">
        <v>2474</v>
      </c>
      <c r="F136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61" s="2" t="str">
        <f>IF(Table1[[#This Row],[Type]]="Major",Table1[[#This Row],[Major Group]],G1360)</f>
        <v>53-0000</v>
      </c>
      <c r="H1361" s="2" t="str">
        <f>IF(Table1[[#This Row],[Major Group]]&lt;&gt;"","n/a",IF(Table1[[#This Row],[Minor Group]]&lt;&gt;"",Table1[[#This Row],[Minor Group]],H1360))</f>
        <v>53-4000</v>
      </c>
      <c r="I1361" s="2" t="str">
        <f>IF(Table1[[#This Row],[Major Group]]&lt;&gt;"","n/a",IF(Table1[[#This Row],[Minor Group]]&lt;&gt;"","n/a",IF(Table1[[#This Row],[Broad Group]]&lt;&gt;"",Table1[[#This Row],[Broad Group]],I1360)))</f>
        <v>53-4010</v>
      </c>
      <c r="J136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Occupation]],J1360))))</f>
        <v>n/a</v>
      </c>
      <c r="K1361" s="2" t="str">
        <f>Table1[[#This Row],[Group Name]]</f>
        <v>Locomotive Engineers and Operators</v>
      </c>
    </row>
    <row r="1362" spans="2:11" x14ac:dyDescent="0.25">
      <c r="D1362" s="5" t="s">
        <v>2475</v>
      </c>
      <c r="E1362" s="5" t="s">
        <v>2476</v>
      </c>
      <c r="F136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62" s="2" t="str">
        <f>IF(Table1[[#This Row],[Type]]="Major",Table1[[#This Row],[Major Group]],G1361)</f>
        <v>53-0000</v>
      </c>
      <c r="H1362" s="2" t="str">
        <f>IF(Table1[[#This Row],[Major Group]]&lt;&gt;"","n/a",IF(Table1[[#This Row],[Minor Group]]&lt;&gt;"",Table1[[#This Row],[Minor Group]],H1361))</f>
        <v>53-4000</v>
      </c>
      <c r="I1362" s="2" t="str">
        <f>IF(Table1[[#This Row],[Major Group]]&lt;&gt;"","n/a",IF(Table1[[#This Row],[Minor Group]]&lt;&gt;"","n/a",IF(Table1[[#This Row],[Broad Group]]&lt;&gt;"",Table1[[#This Row],[Broad Group]],I1361)))</f>
        <v>53-4010</v>
      </c>
      <c r="J136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Occupation]],J1361))))</f>
        <v>53-4011</v>
      </c>
      <c r="K1362" s="2" t="str">
        <f>Table1[[#This Row],[Group Name]]</f>
        <v>Locomotive Engineers</v>
      </c>
    </row>
    <row r="1363" spans="2:11" ht="25.5" x14ac:dyDescent="0.25">
      <c r="D1363" s="5" t="s">
        <v>2477</v>
      </c>
      <c r="E1363" s="5" t="s">
        <v>2478</v>
      </c>
      <c r="F136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63" s="2" t="str">
        <f>IF(Table1[[#This Row],[Type]]="Major",Table1[[#This Row],[Major Group]],G1362)</f>
        <v>53-0000</v>
      </c>
      <c r="H1363" s="2" t="str">
        <f>IF(Table1[[#This Row],[Major Group]]&lt;&gt;"","n/a",IF(Table1[[#This Row],[Minor Group]]&lt;&gt;"",Table1[[#This Row],[Minor Group]],H1362))</f>
        <v>53-4000</v>
      </c>
      <c r="I1363" s="2" t="str">
        <f>IF(Table1[[#This Row],[Major Group]]&lt;&gt;"","n/a",IF(Table1[[#This Row],[Minor Group]]&lt;&gt;"","n/a",IF(Table1[[#This Row],[Broad Group]]&lt;&gt;"",Table1[[#This Row],[Broad Group]],I1362)))</f>
        <v>53-4010</v>
      </c>
      <c r="J136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Occupation]],J1362))))</f>
        <v>53-4013</v>
      </c>
      <c r="K1363" s="2" t="str">
        <f>Table1[[#This Row],[Group Name]]</f>
        <v>Rail Yard Engineers, Dinkey Operators, and Hostlers</v>
      </c>
    </row>
    <row r="1364" spans="2:11" ht="30" x14ac:dyDescent="0.25">
      <c r="C1364" s="1" t="s">
        <v>2479</v>
      </c>
      <c r="E1364" s="1" t="s">
        <v>2480</v>
      </c>
      <c r="F136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64" s="2" t="str">
        <f>IF(Table1[[#This Row],[Type]]="Major",Table1[[#This Row],[Major Group]],G1363)</f>
        <v>53-0000</v>
      </c>
      <c r="H1364" s="2" t="str">
        <f>IF(Table1[[#This Row],[Major Group]]&lt;&gt;"","n/a",IF(Table1[[#This Row],[Minor Group]]&lt;&gt;"",Table1[[#This Row],[Minor Group]],H1363))</f>
        <v>53-4000</v>
      </c>
      <c r="I1364" s="2" t="str">
        <f>IF(Table1[[#This Row],[Major Group]]&lt;&gt;"","n/a",IF(Table1[[#This Row],[Minor Group]]&lt;&gt;"","n/a",IF(Table1[[#This Row],[Broad Group]]&lt;&gt;"",Table1[[#This Row],[Broad Group]],I1363)))</f>
        <v>53-4020</v>
      </c>
      <c r="J136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Occupation]],J1363))))</f>
        <v>n/a</v>
      </c>
      <c r="K1364" s="2" t="str">
        <f>Table1[[#This Row],[Group Name]]</f>
        <v>Railroad Brake, Signal, and Switch Operators and Locomotive Firers</v>
      </c>
    </row>
    <row r="1365" spans="2:11" ht="25.5" x14ac:dyDescent="0.25">
      <c r="D1365" s="5" t="s">
        <v>2481</v>
      </c>
      <c r="E1365" s="5" t="s">
        <v>2480</v>
      </c>
      <c r="F136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65" s="2" t="str">
        <f>IF(Table1[[#This Row],[Type]]="Major",Table1[[#This Row],[Major Group]],G1364)</f>
        <v>53-0000</v>
      </c>
      <c r="H1365" s="2" t="str">
        <f>IF(Table1[[#This Row],[Major Group]]&lt;&gt;"","n/a",IF(Table1[[#This Row],[Minor Group]]&lt;&gt;"",Table1[[#This Row],[Minor Group]],H1364))</f>
        <v>53-4000</v>
      </c>
      <c r="I1365" s="2" t="str">
        <f>IF(Table1[[#This Row],[Major Group]]&lt;&gt;"","n/a",IF(Table1[[#This Row],[Minor Group]]&lt;&gt;"","n/a",IF(Table1[[#This Row],[Broad Group]]&lt;&gt;"",Table1[[#This Row],[Broad Group]],I1364)))</f>
        <v>53-4020</v>
      </c>
      <c r="J136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Occupation]],J1364))))</f>
        <v>53-4022</v>
      </c>
      <c r="K1365" s="2" t="str">
        <f>Table1[[#This Row],[Group Name]]</f>
        <v>Railroad Brake, Signal, and Switch Operators and Locomotive Firers</v>
      </c>
    </row>
    <row r="1366" spans="2:11" ht="30" x14ac:dyDescent="0.25">
      <c r="C1366" s="1" t="s">
        <v>2482</v>
      </c>
      <c r="E1366" s="1" t="s">
        <v>2483</v>
      </c>
      <c r="F136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66" s="2" t="str">
        <f>IF(Table1[[#This Row],[Type]]="Major",Table1[[#This Row],[Major Group]],G1365)</f>
        <v>53-0000</v>
      </c>
      <c r="H1366" s="2" t="str">
        <f>IF(Table1[[#This Row],[Major Group]]&lt;&gt;"","n/a",IF(Table1[[#This Row],[Minor Group]]&lt;&gt;"",Table1[[#This Row],[Minor Group]],H1365))</f>
        <v>53-4000</v>
      </c>
      <c r="I1366" s="2" t="str">
        <f>IF(Table1[[#This Row],[Major Group]]&lt;&gt;"","n/a",IF(Table1[[#This Row],[Minor Group]]&lt;&gt;"","n/a",IF(Table1[[#This Row],[Broad Group]]&lt;&gt;"",Table1[[#This Row],[Broad Group]],I1365)))</f>
        <v>53-4030</v>
      </c>
      <c r="J136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Occupation]],J1365))))</f>
        <v>n/a</v>
      </c>
      <c r="K1366" s="2" t="str">
        <f>Table1[[#This Row],[Group Name]]</f>
        <v>Railroad Conductors and Yardmasters</v>
      </c>
    </row>
    <row r="1367" spans="2:11" x14ac:dyDescent="0.25">
      <c r="D1367" s="5" t="s">
        <v>2484</v>
      </c>
      <c r="E1367" s="5" t="s">
        <v>2483</v>
      </c>
      <c r="F136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67" s="2" t="str">
        <f>IF(Table1[[#This Row],[Type]]="Major",Table1[[#This Row],[Major Group]],G1366)</f>
        <v>53-0000</v>
      </c>
      <c r="H1367" s="2" t="str">
        <f>IF(Table1[[#This Row],[Major Group]]&lt;&gt;"","n/a",IF(Table1[[#This Row],[Minor Group]]&lt;&gt;"",Table1[[#This Row],[Minor Group]],H1366))</f>
        <v>53-4000</v>
      </c>
      <c r="I1367" s="2" t="str">
        <f>IF(Table1[[#This Row],[Major Group]]&lt;&gt;"","n/a",IF(Table1[[#This Row],[Minor Group]]&lt;&gt;"","n/a",IF(Table1[[#This Row],[Broad Group]]&lt;&gt;"",Table1[[#This Row],[Broad Group]],I1366)))</f>
        <v>53-4030</v>
      </c>
      <c r="J136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Occupation]],J1366))))</f>
        <v>53-4031</v>
      </c>
      <c r="K1367" s="2" t="str">
        <f>Table1[[#This Row],[Group Name]]</f>
        <v>Railroad Conductors and Yardmasters</v>
      </c>
    </row>
    <row r="1368" spans="2:11" x14ac:dyDescent="0.25">
      <c r="C1368" s="1" t="s">
        <v>2485</v>
      </c>
      <c r="E1368" s="1" t="s">
        <v>2486</v>
      </c>
      <c r="F136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68" s="2" t="str">
        <f>IF(Table1[[#This Row],[Type]]="Major",Table1[[#This Row],[Major Group]],G1367)</f>
        <v>53-0000</v>
      </c>
      <c r="H1368" s="2" t="str">
        <f>IF(Table1[[#This Row],[Major Group]]&lt;&gt;"","n/a",IF(Table1[[#This Row],[Minor Group]]&lt;&gt;"",Table1[[#This Row],[Minor Group]],H1367))</f>
        <v>53-4000</v>
      </c>
      <c r="I1368" s="2" t="str">
        <f>IF(Table1[[#This Row],[Major Group]]&lt;&gt;"","n/a",IF(Table1[[#This Row],[Minor Group]]&lt;&gt;"","n/a",IF(Table1[[#This Row],[Broad Group]]&lt;&gt;"",Table1[[#This Row],[Broad Group]],I1367)))</f>
        <v>53-4040</v>
      </c>
      <c r="J136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Occupation]],J1367))))</f>
        <v>n/a</v>
      </c>
      <c r="K1368" s="2" t="str">
        <f>Table1[[#This Row],[Group Name]]</f>
        <v>Subway and Streetcar Operators</v>
      </c>
    </row>
    <row r="1369" spans="2:11" x14ac:dyDescent="0.25">
      <c r="D1369" s="5" t="s">
        <v>2487</v>
      </c>
      <c r="E1369" s="5" t="s">
        <v>2486</v>
      </c>
      <c r="F136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69" s="2" t="str">
        <f>IF(Table1[[#This Row],[Type]]="Major",Table1[[#This Row],[Major Group]],G1368)</f>
        <v>53-0000</v>
      </c>
      <c r="H1369" s="2" t="str">
        <f>IF(Table1[[#This Row],[Major Group]]&lt;&gt;"","n/a",IF(Table1[[#This Row],[Minor Group]]&lt;&gt;"",Table1[[#This Row],[Minor Group]],H1368))</f>
        <v>53-4000</v>
      </c>
      <c r="I1369" s="2" t="str">
        <f>IF(Table1[[#This Row],[Major Group]]&lt;&gt;"","n/a",IF(Table1[[#This Row],[Minor Group]]&lt;&gt;"","n/a",IF(Table1[[#This Row],[Broad Group]]&lt;&gt;"",Table1[[#This Row],[Broad Group]],I1368)))</f>
        <v>53-4040</v>
      </c>
      <c r="J136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Occupation]],J1368))))</f>
        <v>53-4041</v>
      </c>
      <c r="K1369" s="2" t="str">
        <f>Table1[[#This Row],[Group Name]]</f>
        <v>Subway and Streetcar Operators</v>
      </c>
    </row>
    <row r="1370" spans="2:11" ht="30" x14ac:dyDescent="0.25">
      <c r="C1370" s="1" t="s">
        <v>2488</v>
      </c>
      <c r="E1370" s="1" t="s">
        <v>2489</v>
      </c>
      <c r="F137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70" s="2" t="str">
        <f>IF(Table1[[#This Row],[Type]]="Major",Table1[[#This Row],[Major Group]],G1369)</f>
        <v>53-0000</v>
      </c>
      <c r="H1370" s="2" t="str">
        <f>IF(Table1[[#This Row],[Major Group]]&lt;&gt;"","n/a",IF(Table1[[#This Row],[Minor Group]]&lt;&gt;"",Table1[[#This Row],[Minor Group]],H1369))</f>
        <v>53-4000</v>
      </c>
      <c r="I1370" s="2" t="str">
        <f>IF(Table1[[#This Row],[Major Group]]&lt;&gt;"","n/a",IF(Table1[[#This Row],[Minor Group]]&lt;&gt;"","n/a",IF(Table1[[#This Row],[Broad Group]]&lt;&gt;"",Table1[[#This Row],[Broad Group]],I1369)))</f>
        <v>53-4090</v>
      </c>
      <c r="J137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Occupation]],J1369))))</f>
        <v>n/a</v>
      </c>
      <c r="K1370" s="2" t="str">
        <f>Table1[[#This Row],[Group Name]]</f>
        <v>Miscellaneous Rail Transportation Workers</v>
      </c>
    </row>
    <row r="1371" spans="2:11" x14ac:dyDescent="0.25">
      <c r="D1371" s="5" t="s">
        <v>2490</v>
      </c>
      <c r="E1371" s="5" t="s">
        <v>2491</v>
      </c>
      <c r="F137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71" s="2" t="str">
        <f>IF(Table1[[#This Row],[Type]]="Major",Table1[[#This Row],[Major Group]],G1370)</f>
        <v>53-0000</v>
      </c>
      <c r="H1371" s="2" t="str">
        <f>IF(Table1[[#This Row],[Major Group]]&lt;&gt;"","n/a",IF(Table1[[#This Row],[Minor Group]]&lt;&gt;"",Table1[[#This Row],[Minor Group]],H1370))</f>
        <v>53-4000</v>
      </c>
      <c r="I1371" s="2" t="str">
        <f>IF(Table1[[#This Row],[Major Group]]&lt;&gt;"","n/a",IF(Table1[[#This Row],[Minor Group]]&lt;&gt;"","n/a",IF(Table1[[#This Row],[Broad Group]]&lt;&gt;"",Table1[[#This Row],[Broad Group]],I1370)))</f>
        <v>53-4090</v>
      </c>
      <c r="J137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Occupation]],J1370))))</f>
        <v>53-4099</v>
      </c>
      <c r="K1371" s="2" t="str">
        <f>Table1[[#This Row],[Group Name]]</f>
        <v>Rail Transportation Workers, All Other</v>
      </c>
    </row>
    <row r="1372" spans="2:11" x14ac:dyDescent="0.25">
      <c r="B1372" s="3" t="s">
        <v>2492</v>
      </c>
      <c r="E1372" s="3" t="s">
        <v>2493</v>
      </c>
      <c r="F137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72" s="2" t="str">
        <f>IF(Table1[[#This Row],[Type]]="Major",Table1[[#This Row],[Major Group]],G1371)</f>
        <v>53-0000</v>
      </c>
      <c r="H1372" s="2" t="str">
        <f>IF(Table1[[#This Row],[Major Group]]&lt;&gt;"","n/a",IF(Table1[[#This Row],[Minor Group]]&lt;&gt;"",Table1[[#This Row],[Minor Group]],H1371))</f>
        <v>53-5000</v>
      </c>
      <c r="I1372" s="2" t="str">
        <f>IF(Table1[[#This Row],[Major Group]]&lt;&gt;"","n/a",IF(Table1[[#This Row],[Minor Group]]&lt;&gt;"","n/a",IF(Table1[[#This Row],[Broad Group]]&lt;&gt;"",Table1[[#This Row],[Broad Group]],I1371)))</f>
        <v>n/a</v>
      </c>
      <c r="J137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Occupation]],J1371))))</f>
        <v>n/a</v>
      </c>
      <c r="K1372" s="2" t="str">
        <f>Table1[[#This Row],[Group Name]]</f>
        <v>Water Transportation Workers</v>
      </c>
    </row>
    <row r="1373" spans="2:11" x14ac:dyDescent="0.25">
      <c r="C1373" s="1" t="s">
        <v>2494</v>
      </c>
      <c r="E1373" s="1" t="s">
        <v>2495</v>
      </c>
      <c r="F137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73" s="2" t="str">
        <f>IF(Table1[[#This Row],[Type]]="Major",Table1[[#This Row],[Major Group]],G1372)</f>
        <v>53-0000</v>
      </c>
      <c r="H1373" s="2" t="str">
        <f>IF(Table1[[#This Row],[Major Group]]&lt;&gt;"","n/a",IF(Table1[[#This Row],[Minor Group]]&lt;&gt;"",Table1[[#This Row],[Minor Group]],H1372))</f>
        <v>53-5000</v>
      </c>
      <c r="I1373" s="2" t="str">
        <f>IF(Table1[[#This Row],[Major Group]]&lt;&gt;"","n/a",IF(Table1[[#This Row],[Minor Group]]&lt;&gt;"","n/a",IF(Table1[[#This Row],[Broad Group]]&lt;&gt;"",Table1[[#This Row],[Broad Group]],I1372)))</f>
        <v>53-5010</v>
      </c>
      <c r="J137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Occupation]],J1372))))</f>
        <v>n/a</v>
      </c>
      <c r="K1373" s="2" t="str">
        <f>Table1[[#This Row],[Group Name]]</f>
        <v>Sailors and Marine Oilers</v>
      </c>
    </row>
    <row r="1374" spans="2:11" x14ac:dyDescent="0.25">
      <c r="D1374" s="5" t="s">
        <v>2496</v>
      </c>
      <c r="E1374" s="5" t="s">
        <v>2495</v>
      </c>
      <c r="F137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74" s="2" t="str">
        <f>IF(Table1[[#This Row],[Type]]="Major",Table1[[#This Row],[Major Group]],G1373)</f>
        <v>53-0000</v>
      </c>
      <c r="H1374" s="2" t="str">
        <f>IF(Table1[[#This Row],[Major Group]]&lt;&gt;"","n/a",IF(Table1[[#This Row],[Minor Group]]&lt;&gt;"",Table1[[#This Row],[Minor Group]],H1373))</f>
        <v>53-5000</v>
      </c>
      <c r="I1374" s="2" t="str">
        <f>IF(Table1[[#This Row],[Major Group]]&lt;&gt;"","n/a",IF(Table1[[#This Row],[Minor Group]]&lt;&gt;"","n/a",IF(Table1[[#This Row],[Broad Group]]&lt;&gt;"",Table1[[#This Row],[Broad Group]],I1373)))</f>
        <v>53-5010</v>
      </c>
      <c r="J137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Occupation]],J1373))))</f>
        <v>53-5011</v>
      </c>
      <c r="K1374" s="2" t="str">
        <f>Table1[[#This Row],[Group Name]]</f>
        <v>Sailors and Marine Oilers</v>
      </c>
    </row>
    <row r="1375" spans="2:11" ht="30" x14ac:dyDescent="0.25">
      <c r="C1375" s="1" t="s">
        <v>2497</v>
      </c>
      <c r="E1375" s="1" t="s">
        <v>2498</v>
      </c>
      <c r="F137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75" s="2" t="str">
        <f>IF(Table1[[#This Row],[Type]]="Major",Table1[[#This Row],[Major Group]],G1374)</f>
        <v>53-0000</v>
      </c>
      <c r="H1375" s="2" t="str">
        <f>IF(Table1[[#This Row],[Major Group]]&lt;&gt;"","n/a",IF(Table1[[#This Row],[Minor Group]]&lt;&gt;"",Table1[[#This Row],[Minor Group]],H1374))</f>
        <v>53-5000</v>
      </c>
      <c r="I1375" s="2" t="str">
        <f>IF(Table1[[#This Row],[Major Group]]&lt;&gt;"","n/a",IF(Table1[[#This Row],[Minor Group]]&lt;&gt;"","n/a",IF(Table1[[#This Row],[Broad Group]]&lt;&gt;"",Table1[[#This Row],[Broad Group]],I1374)))</f>
        <v>53-5020</v>
      </c>
      <c r="J137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Occupation]],J1374))))</f>
        <v>n/a</v>
      </c>
      <c r="K1375" s="2" t="str">
        <f>Table1[[#This Row],[Group Name]]</f>
        <v>Ship and Boat Captains and Operators</v>
      </c>
    </row>
    <row r="1376" spans="2:11" ht="25.5" x14ac:dyDescent="0.25">
      <c r="D1376" s="5" t="s">
        <v>2499</v>
      </c>
      <c r="E1376" s="5" t="s">
        <v>2500</v>
      </c>
      <c r="F137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76" s="2" t="str">
        <f>IF(Table1[[#This Row],[Type]]="Major",Table1[[#This Row],[Major Group]],G1375)</f>
        <v>53-0000</v>
      </c>
      <c r="H1376" s="2" t="str">
        <f>IF(Table1[[#This Row],[Major Group]]&lt;&gt;"","n/a",IF(Table1[[#This Row],[Minor Group]]&lt;&gt;"",Table1[[#This Row],[Minor Group]],H1375))</f>
        <v>53-5000</v>
      </c>
      <c r="I1376" s="2" t="str">
        <f>IF(Table1[[#This Row],[Major Group]]&lt;&gt;"","n/a",IF(Table1[[#This Row],[Minor Group]]&lt;&gt;"","n/a",IF(Table1[[#This Row],[Broad Group]]&lt;&gt;"",Table1[[#This Row],[Broad Group]],I1375)))</f>
        <v>53-5020</v>
      </c>
      <c r="J137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Occupation]],J1375))))</f>
        <v>53-5021</v>
      </c>
      <c r="K1376" s="2" t="str">
        <f>Table1[[#This Row],[Group Name]]</f>
        <v>Captains, Mates, and Pilots of Water Vessels</v>
      </c>
    </row>
    <row r="1377" spans="2:11" x14ac:dyDescent="0.25">
      <c r="D1377" s="5" t="s">
        <v>2501</v>
      </c>
      <c r="E1377" s="5" t="s">
        <v>2502</v>
      </c>
      <c r="F137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77" s="2" t="str">
        <f>IF(Table1[[#This Row],[Type]]="Major",Table1[[#This Row],[Major Group]],G1376)</f>
        <v>53-0000</v>
      </c>
      <c r="H1377" s="2" t="str">
        <f>IF(Table1[[#This Row],[Major Group]]&lt;&gt;"","n/a",IF(Table1[[#This Row],[Minor Group]]&lt;&gt;"",Table1[[#This Row],[Minor Group]],H1376))</f>
        <v>53-5000</v>
      </c>
      <c r="I1377" s="2" t="str">
        <f>IF(Table1[[#This Row],[Major Group]]&lt;&gt;"","n/a",IF(Table1[[#This Row],[Minor Group]]&lt;&gt;"","n/a",IF(Table1[[#This Row],[Broad Group]]&lt;&gt;"",Table1[[#This Row],[Broad Group]],I1376)))</f>
        <v>53-5020</v>
      </c>
      <c r="J137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Occupation]],J1376))))</f>
        <v>53-5022</v>
      </c>
      <c r="K1377" s="2" t="str">
        <f>Table1[[#This Row],[Group Name]]</f>
        <v>Motorboat Operators</v>
      </c>
    </row>
    <row r="1378" spans="2:11" x14ac:dyDescent="0.25">
      <c r="C1378" s="1" t="s">
        <v>2503</v>
      </c>
      <c r="E1378" s="1" t="s">
        <v>2504</v>
      </c>
      <c r="F137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78" s="2" t="str">
        <f>IF(Table1[[#This Row],[Type]]="Major",Table1[[#This Row],[Major Group]],G1377)</f>
        <v>53-0000</v>
      </c>
      <c r="H1378" s="2" t="str">
        <f>IF(Table1[[#This Row],[Major Group]]&lt;&gt;"","n/a",IF(Table1[[#This Row],[Minor Group]]&lt;&gt;"",Table1[[#This Row],[Minor Group]],H1377))</f>
        <v>53-5000</v>
      </c>
      <c r="I1378" s="2" t="str">
        <f>IF(Table1[[#This Row],[Major Group]]&lt;&gt;"","n/a",IF(Table1[[#This Row],[Minor Group]]&lt;&gt;"","n/a",IF(Table1[[#This Row],[Broad Group]]&lt;&gt;"",Table1[[#This Row],[Broad Group]],I1377)))</f>
        <v>53-5030</v>
      </c>
      <c r="J137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Occupation]],J1377))))</f>
        <v>n/a</v>
      </c>
      <c r="K1378" s="2" t="str">
        <f>Table1[[#This Row],[Group Name]]</f>
        <v>Ship Engineers</v>
      </c>
    </row>
    <row r="1379" spans="2:11" x14ac:dyDescent="0.25">
      <c r="D1379" s="5" t="s">
        <v>2505</v>
      </c>
      <c r="E1379" s="5" t="s">
        <v>2504</v>
      </c>
      <c r="F137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79" s="2" t="str">
        <f>IF(Table1[[#This Row],[Type]]="Major",Table1[[#This Row],[Major Group]],G1378)</f>
        <v>53-0000</v>
      </c>
      <c r="H1379" s="2" t="str">
        <f>IF(Table1[[#This Row],[Major Group]]&lt;&gt;"","n/a",IF(Table1[[#This Row],[Minor Group]]&lt;&gt;"",Table1[[#This Row],[Minor Group]],H1378))</f>
        <v>53-5000</v>
      </c>
      <c r="I1379" s="2" t="str">
        <f>IF(Table1[[#This Row],[Major Group]]&lt;&gt;"","n/a",IF(Table1[[#This Row],[Minor Group]]&lt;&gt;"","n/a",IF(Table1[[#This Row],[Broad Group]]&lt;&gt;"",Table1[[#This Row],[Broad Group]],I1378)))</f>
        <v>53-5030</v>
      </c>
      <c r="J137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Occupation]],J1378))))</f>
        <v>53-5031</v>
      </c>
      <c r="K1379" s="2" t="str">
        <f>Table1[[#This Row],[Group Name]]</f>
        <v>Ship Engineers</v>
      </c>
    </row>
    <row r="1380" spans="2:11" x14ac:dyDescent="0.25">
      <c r="B1380" s="3" t="s">
        <v>2506</v>
      </c>
      <c r="E1380" s="3" t="s">
        <v>2507</v>
      </c>
      <c r="F138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80" s="2" t="str">
        <f>IF(Table1[[#This Row],[Type]]="Major",Table1[[#This Row],[Major Group]],G1379)</f>
        <v>53-0000</v>
      </c>
      <c r="H1380" s="2" t="str">
        <f>IF(Table1[[#This Row],[Major Group]]&lt;&gt;"","n/a",IF(Table1[[#This Row],[Minor Group]]&lt;&gt;"",Table1[[#This Row],[Minor Group]],H1379))</f>
        <v>53-6000</v>
      </c>
      <c r="I1380" s="2" t="str">
        <f>IF(Table1[[#This Row],[Major Group]]&lt;&gt;"","n/a",IF(Table1[[#This Row],[Minor Group]]&lt;&gt;"","n/a",IF(Table1[[#This Row],[Broad Group]]&lt;&gt;"",Table1[[#This Row],[Broad Group]],I1379)))</f>
        <v>n/a</v>
      </c>
      <c r="J138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Occupation]],J1379))))</f>
        <v>n/a</v>
      </c>
      <c r="K1380" s="2" t="str">
        <f>Table1[[#This Row],[Group Name]]</f>
        <v>Other Transportation Workers</v>
      </c>
    </row>
    <row r="1381" spans="2:11" x14ac:dyDescent="0.25">
      <c r="C1381" s="1" t="s">
        <v>2508</v>
      </c>
      <c r="E1381" s="1" t="s">
        <v>2509</v>
      </c>
      <c r="F138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81" s="2" t="str">
        <f>IF(Table1[[#This Row],[Type]]="Major",Table1[[#This Row],[Major Group]],G1380)</f>
        <v>53-0000</v>
      </c>
      <c r="H1381" s="2" t="str">
        <f>IF(Table1[[#This Row],[Major Group]]&lt;&gt;"","n/a",IF(Table1[[#This Row],[Minor Group]]&lt;&gt;"",Table1[[#This Row],[Minor Group]],H1380))</f>
        <v>53-6000</v>
      </c>
      <c r="I1381" s="2" t="str">
        <f>IF(Table1[[#This Row],[Major Group]]&lt;&gt;"","n/a",IF(Table1[[#This Row],[Minor Group]]&lt;&gt;"","n/a",IF(Table1[[#This Row],[Broad Group]]&lt;&gt;"",Table1[[#This Row],[Broad Group]],I1380)))</f>
        <v>53-6010</v>
      </c>
      <c r="J138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Occupation]],J1380))))</f>
        <v>n/a</v>
      </c>
      <c r="K1381" s="2" t="str">
        <f>Table1[[#This Row],[Group Name]]</f>
        <v>Bridge and Lock Tenders</v>
      </c>
    </row>
    <row r="1382" spans="2:11" x14ac:dyDescent="0.25">
      <c r="D1382" s="5" t="s">
        <v>2510</v>
      </c>
      <c r="E1382" s="5" t="s">
        <v>2509</v>
      </c>
      <c r="F138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82" s="2" t="str">
        <f>IF(Table1[[#This Row],[Type]]="Major",Table1[[#This Row],[Major Group]],G1381)</f>
        <v>53-0000</v>
      </c>
      <c r="H1382" s="2" t="str">
        <f>IF(Table1[[#This Row],[Major Group]]&lt;&gt;"","n/a",IF(Table1[[#This Row],[Minor Group]]&lt;&gt;"",Table1[[#This Row],[Minor Group]],H1381))</f>
        <v>53-6000</v>
      </c>
      <c r="I1382" s="2" t="str">
        <f>IF(Table1[[#This Row],[Major Group]]&lt;&gt;"","n/a",IF(Table1[[#This Row],[Minor Group]]&lt;&gt;"","n/a",IF(Table1[[#This Row],[Broad Group]]&lt;&gt;"",Table1[[#This Row],[Broad Group]],I1381)))</f>
        <v>53-6010</v>
      </c>
      <c r="J138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Occupation]],J1381))))</f>
        <v>53-6011</v>
      </c>
      <c r="K1382" s="2" t="str">
        <f>Table1[[#This Row],[Group Name]]</f>
        <v>Bridge and Lock Tenders</v>
      </c>
    </row>
    <row r="1383" spans="2:11" x14ac:dyDescent="0.25">
      <c r="C1383" s="1" t="s">
        <v>2511</v>
      </c>
      <c r="E1383" s="1" t="s">
        <v>2512</v>
      </c>
      <c r="F138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83" s="2" t="str">
        <f>IF(Table1[[#This Row],[Type]]="Major",Table1[[#This Row],[Major Group]],G1382)</f>
        <v>53-0000</v>
      </c>
      <c r="H1383" s="2" t="str">
        <f>IF(Table1[[#This Row],[Major Group]]&lt;&gt;"","n/a",IF(Table1[[#This Row],[Minor Group]]&lt;&gt;"",Table1[[#This Row],[Minor Group]],H1382))</f>
        <v>53-6000</v>
      </c>
      <c r="I1383" s="2" t="str">
        <f>IF(Table1[[#This Row],[Major Group]]&lt;&gt;"","n/a",IF(Table1[[#This Row],[Minor Group]]&lt;&gt;"","n/a",IF(Table1[[#This Row],[Broad Group]]&lt;&gt;"",Table1[[#This Row],[Broad Group]],I1382)))</f>
        <v>53-6020</v>
      </c>
      <c r="J138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Occupation]],J1382))))</f>
        <v>n/a</v>
      </c>
      <c r="K1383" s="2" t="str">
        <f>Table1[[#This Row],[Group Name]]</f>
        <v>Parking Attendants</v>
      </c>
    </row>
    <row r="1384" spans="2:11" x14ac:dyDescent="0.25">
      <c r="D1384" s="5" t="s">
        <v>2513</v>
      </c>
      <c r="E1384" s="5" t="s">
        <v>2512</v>
      </c>
      <c r="F138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84" s="2" t="str">
        <f>IF(Table1[[#This Row],[Type]]="Major",Table1[[#This Row],[Major Group]],G1383)</f>
        <v>53-0000</v>
      </c>
      <c r="H1384" s="2" t="str">
        <f>IF(Table1[[#This Row],[Major Group]]&lt;&gt;"","n/a",IF(Table1[[#This Row],[Minor Group]]&lt;&gt;"",Table1[[#This Row],[Minor Group]],H1383))</f>
        <v>53-6000</v>
      </c>
      <c r="I1384" s="2" t="str">
        <f>IF(Table1[[#This Row],[Major Group]]&lt;&gt;"","n/a",IF(Table1[[#This Row],[Minor Group]]&lt;&gt;"","n/a",IF(Table1[[#This Row],[Broad Group]]&lt;&gt;"",Table1[[#This Row],[Broad Group]],I1383)))</f>
        <v>53-6020</v>
      </c>
      <c r="J138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Occupation]],J1383))))</f>
        <v>53-6021</v>
      </c>
      <c r="K1384" s="2" t="str">
        <f>Table1[[#This Row],[Group Name]]</f>
        <v>Parking Attendants</v>
      </c>
    </row>
    <row r="1385" spans="2:11" x14ac:dyDescent="0.25">
      <c r="C1385" s="1" t="s">
        <v>2514</v>
      </c>
      <c r="E1385" s="1" t="s">
        <v>2515</v>
      </c>
      <c r="F138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85" s="2" t="str">
        <f>IF(Table1[[#This Row],[Type]]="Major",Table1[[#This Row],[Major Group]],G1384)</f>
        <v>53-0000</v>
      </c>
      <c r="H1385" s="2" t="str">
        <f>IF(Table1[[#This Row],[Major Group]]&lt;&gt;"","n/a",IF(Table1[[#This Row],[Minor Group]]&lt;&gt;"",Table1[[#This Row],[Minor Group]],H1384))</f>
        <v>53-6000</v>
      </c>
      <c r="I1385" s="2" t="str">
        <f>IF(Table1[[#This Row],[Major Group]]&lt;&gt;"","n/a",IF(Table1[[#This Row],[Minor Group]]&lt;&gt;"","n/a",IF(Table1[[#This Row],[Broad Group]]&lt;&gt;"",Table1[[#This Row],[Broad Group]],I1384)))</f>
        <v>53-6030</v>
      </c>
      <c r="J138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Occupation]],J1384))))</f>
        <v>n/a</v>
      </c>
      <c r="K1385" s="2" t="str">
        <f>Table1[[#This Row],[Group Name]]</f>
        <v>Transportation Service Attendants</v>
      </c>
    </row>
    <row r="1386" spans="2:11" ht="25.5" x14ac:dyDescent="0.25">
      <c r="D1386" s="5" t="s">
        <v>2516</v>
      </c>
      <c r="E1386" s="5" t="s">
        <v>2517</v>
      </c>
      <c r="F138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86" s="2" t="str">
        <f>IF(Table1[[#This Row],[Type]]="Major",Table1[[#This Row],[Major Group]],G1385)</f>
        <v>53-0000</v>
      </c>
      <c r="H1386" s="2" t="str">
        <f>IF(Table1[[#This Row],[Major Group]]&lt;&gt;"","n/a",IF(Table1[[#This Row],[Minor Group]]&lt;&gt;"",Table1[[#This Row],[Minor Group]],H1385))</f>
        <v>53-6000</v>
      </c>
      <c r="I1386" s="2" t="str">
        <f>IF(Table1[[#This Row],[Major Group]]&lt;&gt;"","n/a",IF(Table1[[#This Row],[Minor Group]]&lt;&gt;"","n/a",IF(Table1[[#This Row],[Broad Group]]&lt;&gt;"",Table1[[#This Row],[Broad Group]],I1385)))</f>
        <v>53-6030</v>
      </c>
      <c r="J138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Occupation]],J1385))))</f>
        <v>53-6031</v>
      </c>
      <c r="K1386" s="2" t="str">
        <f>Table1[[#This Row],[Group Name]]</f>
        <v>Automotive and Watercraft Service Attendants</v>
      </c>
    </row>
    <row r="1387" spans="2:11" x14ac:dyDescent="0.25">
      <c r="D1387" s="5" t="s">
        <v>2518</v>
      </c>
      <c r="E1387" s="5" t="s">
        <v>2519</v>
      </c>
      <c r="F138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87" s="2" t="str">
        <f>IF(Table1[[#This Row],[Type]]="Major",Table1[[#This Row],[Major Group]],G1386)</f>
        <v>53-0000</v>
      </c>
      <c r="H1387" s="2" t="str">
        <f>IF(Table1[[#This Row],[Major Group]]&lt;&gt;"","n/a",IF(Table1[[#This Row],[Minor Group]]&lt;&gt;"",Table1[[#This Row],[Minor Group]],H1386))</f>
        <v>53-6000</v>
      </c>
      <c r="I1387" s="2" t="str">
        <f>IF(Table1[[#This Row],[Major Group]]&lt;&gt;"","n/a",IF(Table1[[#This Row],[Minor Group]]&lt;&gt;"","n/a",IF(Table1[[#This Row],[Broad Group]]&lt;&gt;"",Table1[[#This Row],[Broad Group]],I1386)))</f>
        <v>53-6030</v>
      </c>
      <c r="J138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Occupation]],J1386))))</f>
        <v>53-6032</v>
      </c>
      <c r="K1387" s="2" t="str">
        <f>Table1[[#This Row],[Group Name]]</f>
        <v>Aircraft Service Attendants</v>
      </c>
    </row>
    <row r="1388" spans="2:11" x14ac:dyDescent="0.25">
      <c r="C1388" s="1" t="s">
        <v>2520</v>
      </c>
      <c r="E1388" s="1" t="s">
        <v>2521</v>
      </c>
      <c r="F138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88" s="2" t="str">
        <f>IF(Table1[[#This Row],[Type]]="Major",Table1[[#This Row],[Major Group]],G1387)</f>
        <v>53-0000</v>
      </c>
      <c r="H1388" s="2" t="str">
        <f>IF(Table1[[#This Row],[Major Group]]&lt;&gt;"","n/a",IF(Table1[[#This Row],[Minor Group]]&lt;&gt;"",Table1[[#This Row],[Minor Group]],H1387))</f>
        <v>53-6000</v>
      </c>
      <c r="I1388" s="2" t="str">
        <f>IF(Table1[[#This Row],[Major Group]]&lt;&gt;"","n/a",IF(Table1[[#This Row],[Minor Group]]&lt;&gt;"","n/a",IF(Table1[[#This Row],[Broad Group]]&lt;&gt;"",Table1[[#This Row],[Broad Group]],I1387)))</f>
        <v>53-6040</v>
      </c>
      <c r="J138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Occupation]],J1387))))</f>
        <v>n/a</v>
      </c>
      <c r="K1388" s="2" t="str">
        <f>Table1[[#This Row],[Group Name]]</f>
        <v>Traffic Technicians</v>
      </c>
    </row>
    <row r="1389" spans="2:11" x14ac:dyDescent="0.25">
      <c r="D1389" s="5" t="s">
        <v>2522</v>
      </c>
      <c r="E1389" s="5" t="s">
        <v>2521</v>
      </c>
      <c r="F138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89" s="2" t="str">
        <f>IF(Table1[[#This Row],[Type]]="Major",Table1[[#This Row],[Major Group]],G1388)</f>
        <v>53-0000</v>
      </c>
      <c r="H1389" s="2" t="str">
        <f>IF(Table1[[#This Row],[Major Group]]&lt;&gt;"","n/a",IF(Table1[[#This Row],[Minor Group]]&lt;&gt;"",Table1[[#This Row],[Minor Group]],H1388))</f>
        <v>53-6000</v>
      </c>
      <c r="I1389" s="2" t="str">
        <f>IF(Table1[[#This Row],[Major Group]]&lt;&gt;"","n/a",IF(Table1[[#This Row],[Minor Group]]&lt;&gt;"","n/a",IF(Table1[[#This Row],[Broad Group]]&lt;&gt;"",Table1[[#This Row],[Broad Group]],I1388)))</f>
        <v>53-6040</v>
      </c>
      <c r="J138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Occupation]],J1388))))</f>
        <v>53-6041</v>
      </c>
      <c r="K1389" s="2" t="str">
        <f>Table1[[#This Row],[Group Name]]</f>
        <v>Traffic Technicians</v>
      </c>
    </row>
    <row r="1390" spans="2:11" x14ac:dyDescent="0.25">
      <c r="C1390" s="1" t="s">
        <v>2523</v>
      </c>
      <c r="E1390" s="1" t="s">
        <v>2524</v>
      </c>
      <c r="F139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90" s="2" t="str">
        <f>IF(Table1[[#This Row],[Type]]="Major",Table1[[#This Row],[Major Group]],G1389)</f>
        <v>53-0000</v>
      </c>
      <c r="H1390" s="2" t="str">
        <f>IF(Table1[[#This Row],[Major Group]]&lt;&gt;"","n/a",IF(Table1[[#This Row],[Minor Group]]&lt;&gt;"",Table1[[#This Row],[Minor Group]],H1389))</f>
        <v>53-6000</v>
      </c>
      <c r="I1390" s="2" t="str">
        <f>IF(Table1[[#This Row],[Major Group]]&lt;&gt;"","n/a",IF(Table1[[#This Row],[Minor Group]]&lt;&gt;"","n/a",IF(Table1[[#This Row],[Broad Group]]&lt;&gt;"",Table1[[#This Row],[Broad Group]],I1389)))</f>
        <v>53-6050</v>
      </c>
      <c r="J139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Occupation]],J1389))))</f>
        <v>n/a</v>
      </c>
      <c r="K1390" s="2" t="str">
        <f>Table1[[#This Row],[Group Name]]</f>
        <v>Transportation Inspectors</v>
      </c>
    </row>
    <row r="1391" spans="2:11" x14ac:dyDescent="0.25">
      <c r="D1391" s="5" t="s">
        <v>2525</v>
      </c>
      <c r="E1391" s="5" t="s">
        <v>2524</v>
      </c>
      <c r="F139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91" s="2" t="str">
        <f>IF(Table1[[#This Row],[Type]]="Major",Table1[[#This Row],[Major Group]],G1390)</f>
        <v>53-0000</v>
      </c>
      <c r="H1391" s="2" t="str">
        <f>IF(Table1[[#This Row],[Major Group]]&lt;&gt;"","n/a",IF(Table1[[#This Row],[Minor Group]]&lt;&gt;"",Table1[[#This Row],[Minor Group]],H1390))</f>
        <v>53-6000</v>
      </c>
      <c r="I1391" s="2" t="str">
        <f>IF(Table1[[#This Row],[Major Group]]&lt;&gt;"","n/a",IF(Table1[[#This Row],[Minor Group]]&lt;&gt;"","n/a",IF(Table1[[#This Row],[Broad Group]]&lt;&gt;"",Table1[[#This Row],[Broad Group]],I1390)))</f>
        <v>53-6050</v>
      </c>
      <c r="J139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Occupation]],J1390))))</f>
        <v>53-6051</v>
      </c>
      <c r="K1391" s="2" t="str">
        <f>Table1[[#This Row],[Group Name]]</f>
        <v>Transportation Inspectors</v>
      </c>
    </row>
    <row r="1392" spans="2:11" x14ac:dyDescent="0.25">
      <c r="C1392" s="1" t="s">
        <v>2526</v>
      </c>
      <c r="E1392" s="1" t="s">
        <v>2527</v>
      </c>
      <c r="F139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92" s="2" t="str">
        <f>IF(Table1[[#This Row],[Type]]="Major",Table1[[#This Row],[Major Group]],G1391)</f>
        <v>53-0000</v>
      </c>
      <c r="H1392" s="2" t="str">
        <f>IF(Table1[[#This Row],[Major Group]]&lt;&gt;"","n/a",IF(Table1[[#This Row],[Minor Group]]&lt;&gt;"",Table1[[#This Row],[Minor Group]],H1391))</f>
        <v>53-6000</v>
      </c>
      <c r="I1392" s="2" t="str">
        <f>IF(Table1[[#This Row],[Major Group]]&lt;&gt;"","n/a",IF(Table1[[#This Row],[Minor Group]]&lt;&gt;"","n/a",IF(Table1[[#This Row],[Broad Group]]&lt;&gt;"",Table1[[#This Row],[Broad Group]],I1391)))</f>
        <v>53-6060</v>
      </c>
      <c r="J139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Occupation]],J1391))))</f>
        <v>n/a</v>
      </c>
      <c r="K1392" s="2" t="str">
        <f>Table1[[#This Row],[Group Name]]</f>
        <v>Passenger Attendants</v>
      </c>
    </row>
    <row r="1393" spans="2:11" x14ac:dyDescent="0.25">
      <c r="D1393" s="5" t="s">
        <v>2528</v>
      </c>
      <c r="E1393" s="5" t="s">
        <v>2527</v>
      </c>
      <c r="F139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93" s="2" t="str">
        <f>IF(Table1[[#This Row],[Type]]="Major",Table1[[#This Row],[Major Group]],G1392)</f>
        <v>53-0000</v>
      </c>
      <c r="H1393" s="2" t="str">
        <f>IF(Table1[[#This Row],[Major Group]]&lt;&gt;"","n/a",IF(Table1[[#This Row],[Minor Group]]&lt;&gt;"",Table1[[#This Row],[Minor Group]],H1392))</f>
        <v>53-6000</v>
      </c>
      <c r="I1393" s="2" t="str">
        <f>IF(Table1[[#This Row],[Major Group]]&lt;&gt;"","n/a",IF(Table1[[#This Row],[Minor Group]]&lt;&gt;"","n/a",IF(Table1[[#This Row],[Broad Group]]&lt;&gt;"",Table1[[#This Row],[Broad Group]],I1392)))</f>
        <v>53-6060</v>
      </c>
      <c r="J139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Occupation]],J1392))))</f>
        <v>53-6061</v>
      </c>
      <c r="K1393" s="2" t="str">
        <f>Table1[[#This Row],[Group Name]]</f>
        <v>Passenger Attendants</v>
      </c>
    </row>
    <row r="1394" spans="2:11" ht="30" x14ac:dyDescent="0.25">
      <c r="C1394" s="1" t="s">
        <v>2529</v>
      </c>
      <c r="E1394" s="1" t="s">
        <v>2530</v>
      </c>
      <c r="F139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94" s="2" t="str">
        <f>IF(Table1[[#This Row],[Type]]="Major",Table1[[#This Row],[Major Group]],G1393)</f>
        <v>53-0000</v>
      </c>
      <c r="H1394" s="2" t="str">
        <f>IF(Table1[[#This Row],[Major Group]]&lt;&gt;"","n/a",IF(Table1[[#This Row],[Minor Group]]&lt;&gt;"",Table1[[#This Row],[Minor Group]],H1393))</f>
        <v>53-6000</v>
      </c>
      <c r="I1394" s="2" t="str">
        <f>IF(Table1[[#This Row],[Major Group]]&lt;&gt;"","n/a",IF(Table1[[#This Row],[Minor Group]]&lt;&gt;"","n/a",IF(Table1[[#This Row],[Broad Group]]&lt;&gt;"",Table1[[#This Row],[Broad Group]],I1393)))</f>
        <v>53-6090</v>
      </c>
      <c r="J139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Occupation]],J1393))))</f>
        <v>n/a</v>
      </c>
      <c r="K1394" s="2" t="str">
        <f>Table1[[#This Row],[Group Name]]</f>
        <v>Miscellaneous Transportation Workers</v>
      </c>
    </row>
    <row r="1395" spans="2:11" x14ac:dyDescent="0.25">
      <c r="D1395" s="5" t="s">
        <v>2531</v>
      </c>
      <c r="E1395" s="5" t="s">
        <v>2532</v>
      </c>
      <c r="F139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95" s="2" t="str">
        <f>IF(Table1[[#This Row],[Type]]="Major",Table1[[#This Row],[Major Group]],G1394)</f>
        <v>53-0000</v>
      </c>
      <c r="H1395" s="2" t="str">
        <f>IF(Table1[[#This Row],[Major Group]]&lt;&gt;"","n/a",IF(Table1[[#This Row],[Minor Group]]&lt;&gt;"",Table1[[#This Row],[Minor Group]],H1394))</f>
        <v>53-6000</v>
      </c>
      <c r="I1395" s="2" t="str">
        <f>IF(Table1[[#This Row],[Major Group]]&lt;&gt;"","n/a",IF(Table1[[#This Row],[Minor Group]]&lt;&gt;"","n/a",IF(Table1[[#This Row],[Broad Group]]&lt;&gt;"",Table1[[#This Row],[Broad Group]],I1394)))</f>
        <v>53-6090</v>
      </c>
      <c r="J139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Occupation]],J1394))))</f>
        <v>53-6099</v>
      </c>
      <c r="K1395" s="2" t="str">
        <f>Table1[[#This Row],[Group Name]]</f>
        <v>Transportation Workers, All Other</v>
      </c>
    </row>
    <row r="1396" spans="2:11" x14ac:dyDescent="0.25">
      <c r="B1396" s="3" t="s">
        <v>2533</v>
      </c>
      <c r="E1396" s="3" t="s">
        <v>2534</v>
      </c>
      <c r="F139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396" s="2" t="str">
        <f>IF(Table1[[#This Row],[Type]]="Major",Table1[[#This Row],[Major Group]],G1395)</f>
        <v>53-0000</v>
      </c>
      <c r="H1396" s="2" t="str">
        <f>IF(Table1[[#This Row],[Major Group]]&lt;&gt;"","n/a",IF(Table1[[#This Row],[Minor Group]]&lt;&gt;"",Table1[[#This Row],[Minor Group]],H1395))</f>
        <v>53-7000</v>
      </c>
      <c r="I1396" s="2" t="str">
        <f>IF(Table1[[#This Row],[Major Group]]&lt;&gt;"","n/a",IF(Table1[[#This Row],[Minor Group]]&lt;&gt;"","n/a",IF(Table1[[#This Row],[Broad Group]]&lt;&gt;"",Table1[[#This Row],[Broad Group]],I1395)))</f>
        <v>n/a</v>
      </c>
      <c r="J139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Occupation]],J1395))))</f>
        <v>n/a</v>
      </c>
      <c r="K1396" s="2" t="str">
        <f>Table1[[#This Row],[Group Name]]</f>
        <v>Material Moving Workers</v>
      </c>
    </row>
    <row r="1397" spans="2:11" x14ac:dyDescent="0.25">
      <c r="C1397" s="1" t="s">
        <v>2535</v>
      </c>
      <c r="E1397" s="1" t="s">
        <v>2536</v>
      </c>
      <c r="F139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97" s="2" t="str">
        <f>IF(Table1[[#This Row],[Type]]="Major",Table1[[#This Row],[Major Group]],G1396)</f>
        <v>53-0000</v>
      </c>
      <c r="H1397" s="2" t="str">
        <f>IF(Table1[[#This Row],[Major Group]]&lt;&gt;"","n/a",IF(Table1[[#This Row],[Minor Group]]&lt;&gt;"",Table1[[#This Row],[Minor Group]],H1396))</f>
        <v>53-7000</v>
      </c>
      <c r="I1397" s="2" t="str">
        <f>IF(Table1[[#This Row],[Major Group]]&lt;&gt;"","n/a",IF(Table1[[#This Row],[Minor Group]]&lt;&gt;"","n/a",IF(Table1[[#This Row],[Broad Group]]&lt;&gt;"",Table1[[#This Row],[Broad Group]],I1396)))</f>
        <v>53-7010</v>
      </c>
      <c r="J139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Occupation]],J1396))))</f>
        <v>n/a</v>
      </c>
      <c r="K1397" s="2" t="str">
        <f>Table1[[#This Row],[Group Name]]</f>
        <v>Conveyor Operators and Tenders</v>
      </c>
    </row>
    <row r="1398" spans="2:11" x14ac:dyDescent="0.25">
      <c r="D1398" s="5" t="s">
        <v>2537</v>
      </c>
      <c r="E1398" s="5" t="s">
        <v>2536</v>
      </c>
      <c r="F139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398" s="2" t="str">
        <f>IF(Table1[[#This Row],[Type]]="Major",Table1[[#This Row],[Major Group]],G1397)</f>
        <v>53-0000</v>
      </c>
      <c r="H1398" s="2" t="str">
        <f>IF(Table1[[#This Row],[Major Group]]&lt;&gt;"","n/a",IF(Table1[[#This Row],[Minor Group]]&lt;&gt;"",Table1[[#This Row],[Minor Group]],H1397))</f>
        <v>53-7000</v>
      </c>
      <c r="I1398" s="2" t="str">
        <f>IF(Table1[[#This Row],[Major Group]]&lt;&gt;"","n/a",IF(Table1[[#This Row],[Minor Group]]&lt;&gt;"","n/a",IF(Table1[[#This Row],[Broad Group]]&lt;&gt;"",Table1[[#This Row],[Broad Group]],I1397)))</f>
        <v>53-7010</v>
      </c>
      <c r="J139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Occupation]],J1397))))</f>
        <v>53-7011</v>
      </c>
      <c r="K1398" s="2" t="str">
        <f>Table1[[#This Row],[Group Name]]</f>
        <v>Conveyor Operators and Tenders</v>
      </c>
    </row>
    <row r="1399" spans="2:11" x14ac:dyDescent="0.25">
      <c r="C1399" s="1" t="s">
        <v>2538</v>
      </c>
      <c r="E1399" s="1" t="s">
        <v>2539</v>
      </c>
      <c r="F139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399" s="2" t="str">
        <f>IF(Table1[[#This Row],[Type]]="Major",Table1[[#This Row],[Major Group]],G1398)</f>
        <v>53-0000</v>
      </c>
      <c r="H1399" s="2" t="str">
        <f>IF(Table1[[#This Row],[Major Group]]&lt;&gt;"","n/a",IF(Table1[[#This Row],[Minor Group]]&lt;&gt;"",Table1[[#This Row],[Minor Group]],H1398))</f>
        <v>53-7000</v>
      </c>
      <c r="I1399" s="2" t="str">
        <f>IF(Table1[[#This Row],[Major Group]]&lt;&gt;"","n/a",IF(Table1[[#This Row],[Minor Group]]&lt;&gt;"","n/a",IF(Table1[[#This Row],[Broad Group]]&lt;&gt;"",Table1[[#This Row],[Broad Group]],I1398)))</f>
        <v>53-7020</v>
      </c>
      <c r="J139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Occupation]],J1398))))</f>
        <v>n/a</v>
      </c>
      <c r="K1399" s="2" t="str">
        <f>Table1[[#This Row],[Group Name]]</f>
        <v>Crane and Tower Operators</v>
      </c>
    </row>
    <row r="1400" spans="2:11" x14ac:dyDescent="0.25">
      <c r="D1400" s="5" t="s">
        <v>2540</v>
      </c>
      <c r="E1400" s="5" t="s">
        <v>2539</v>
      </c>
      <c r="F140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00" s="2" t="str">
        <f>IF(Table1[[#This Row],[Type]]="Major",Table1[[#This Row],[Major Group]],G1399)</f>
        <v>53-0000</v>
      </c>
      <c r="H1400" s="2" t="str">
        <f>IF(Table1[[#This Row],[Major Group]]&lt;&gt;"","n/a",IF(Table1[[#This Row],[Minor Group]]&lt;&gt;"",Table1[[#This Row],[Minor Group]],H1399))</f>
        <v>53-7000</v>
      </c>
      <c r="I1400" s="2" t="str">
        <f>IF(Table1[[#This Row],[Major Group]]&lt;&gt;"","n/a",IF(Table1[[#This Row],[Minor Group]]&lt;&gt;"","n/a",IF(Table1[[#This Row],[Broad Group]]&lt;&gt;"",Table1[[#This Row],[Broad Group]],I1399)))</f>
        <v>53-7020</v>
      </c>
      <c r="J140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Occupation]],J1399))))</f>
        <v>53-7021</v>
      </c>
      <c r="K1400" s="2" t="str">
        <f>Table1[[#This Row],[Group Name]]</f>
        <v>Crane and Tower Operators</v>
      </c>
    </row>
    <row r="1401" spans="2:11" x14ac:dyDescent="0.25">
      <c r="C1401" s="1" t="s">
        <v>2541</v>
      </c>
      <c r="E1401" s="1" t="s">
        <v>2542</v>
      </c>
      <c r="F140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01" s="2" t="str">
        <f>IF(Table1[[#This Row],[Type]]="Major",Table1[[#This Row],[Major Group]],G1400)</f>
        <v>53-0000</v>
      </c>
      <c r="H1401" s="2" t="str">
        <f>IF(Table1[[#This Row],[Major Group]]&lt;&gt;"","n/a",IF(Table1[[#This Row],[Minor Group]]&lt;&gt;"",Table1[[#This Row],[Minor Group]],H1400))</f>
        <v>53-7000</v>
      </c>
      <c r="I1401" s="2" t="str">
        <f>IF(Table1[[#This Row],[Major Group]]&lt;&gt;"","n/a",IF(Table1[[#This Row],[Minor Group]]&lt;&gt;"","n/a",IF(Table1[[#This Row],[Broad Group]]&lt;&gt;"",Table1[[#This Row],[Broad Group]],I1400)))</f>
        <v>53-7030</v>
      </c>
      <c r="J140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Occupation]],J1400))))</f>
        <v>n/a</v>
      </c>
      <c r="K1401" s="2" t="str">
        <f>Table1[[#This Row],[Group Name]]</f>
        <v>Dredge Operators</v>
      </c>
    </row>
    <row r="1402" spans="2:11" x14ac:dyDescent="0.25">
      <c r="D1402" s="5" t="s">
        <v>2543</v>
      </c>
      <c r="E1402" s="5" t="s">
        <v>2542</v>
      </c>
      <c r="F140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02" s="2" t="str">
        <f>IF(Table1[[#This Row],[Type]]="Major",Table1[[#This Row],[Major Group]],G1401)</f>
        <v>53-0000</v>
      </c>
      <c r="H1402" s="2" t="str">
        <f>IF(Table1[[#This Row],[Major Group]]&lt;&gt;"","n/a",IF(Table1[[#This Row],[Minor Group]]&lt;&gt;"",Table1[[#This Row],[Minor Group]],H1401))</f>
        <v>53-7000</v>
      </c>
      <c r="I1402" s="2" t="str">
        <f>IF(Table1[[#This Row],[Major Group]]&lt;&gt;"","n/a",IF(Table1[[#This Row],[Minor Group]]&lt;&gt;"","n/a",IF(Table1[[#This Row],[Broad Group]]&lt;&gt;"",Table1[[#This Row],[Broad Group]],I1401)))</f>
        <v>53-7030</v>
      </c>
      <c r="J140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Occupation]],J1401))))</f>
        <v>53-7031</v>
      </c>
      <c r="K1402" s="2" t="str">
        <f>Table1[[#This Row],[Group Name]]</f>
        <v>Dredge Operators</v>
      </c>
    </row>
    <row r="1403" spans="2:11" x14ac:dyDescent="0.25">
      <c r="C1403" s="1" t="s">
        <v>2544</v>
      </c>
      <c r="E1403" s="1" t="s">
        <v>2545</v>
      </c>
      <c r="F140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03" s="2" t="str">
        <f>IF(Table1[[#This Row],[Type]]="Major",Table1[[#This Row],[Major Group]],G1402)</f>
        <v>53-0000</v>
      </c>
      <c r="H1403" s="2" t="str">
        <f>IF(Table1[[#This Row],[Major Group]]&lt;&gt;"","n/a",IF(Table1[[#This Row],[Minor Group]]&lt;&gt;"",Table1[[#This Row],[Minor Group]],H1402))</f>
        <v>53-7000</v>
      </c>
      <c r="I1403" s="2" t="str">
        <f>IF(Table1[[#This Row],[Major Group]]&lt;&gt;"","n/a",IF(Table1[[#This Row],[Minor Group]]&lt;&gt;"","n/a",IF(Table1[[#This Row],[Broad Group]]&lt;&gt;"",Table1[[#This Row],[Broad Group]],I1402)))</f>
        <v>53-7040</v>
      </c>
      <c r="J140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Occupation]],J1402))))</f>
        <v>n/a</v>
      </c>
      <c r="K1403" s="2" t="str">
        <f>Table1[[#This Row],[Group Name]]</f>
        <v>Hoist and Winch Operators</v>
      </c>
    </row>
    <row r="1404" spans="2:11" x14ac:dyDescent="0.25">
      <c r="D1404" s="5" t="s">
        <v>2546</v>
      </c>
      <c r="E1404" s="5" t="s">
        <v>2545</v>
      </c>
      <c r="F140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04" s="2" t="str">
        <f>IF(Table1[[#This Row],[Type]]="Major",Table1[[#This Row],[Major Group]],G1403)</f>
        <v>53-0000</v>
      </c>
      <c r="H1404" s="2" t="str">
        <f>IF(Table1[[#This Row],[Major Group]]&lt;&gt;"","n/a",IF(Table1[[#This Row],[Minor Group]]&lt;&gt;"",Table1[[#This Row],[Minor Group]],H1403))</f>
        <v>53-7000</v>
      </c>
      <c r="I1404" s="2" t="str">
        <f>IF(Table1[[#This Row],[Major Group]]&lt;&gt;"","n/a",IF(Table1[[#This Row],[Minor Group]]&lt;&gt;"","n/a",IF(Table1[[#This Row],[Broad Group]]&lt;&gt;"",Table1[[#This Row],[Broad Group]],I1403)))</f>
        <v>53-7040</v>
      </c>
      <c r="J140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Occupation]],J1403))))</f>
        <v>53-7041</v>
      </c>
      <c r="K1404" s="2" t="str">
        <f>Table1[[#This Row],[Group Name]]</f>
        <v>Hoist and Winch Operators</v>
      </c>
    </row>
    <row r="1405" spans="2:11" ht="30" x14ac:dyDescent="0.25">
      <c r="C1405" s="1" t="s">
        <v>2547</v>
      </c>
      <c r="E1405" s="1" t="s">
        <v>2548</v>
      </c>
      <c r="F140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05" s="2" t="str">
        <f>IF(Table1[[#This Row],[Type]]="Major",Table1[[#This Row],[Major Group]],G1404)</f>
        <v>53-0000</v>
      </c>
      <c r="H1405" s="2" t="str">
        <f>IF(Table1[[#This Row],[Major Group]]&lt;&gt;"","n/a",IF(Table1[[#This Row],[Minor Group]]&lt;&gt;"",Table1[[#This Row],[Minor Group]],H1404))</f>
        <v>53-7000</v>
      </c>
      <c r="I1405" s="2" t="str">
        <f>IF(Table1[[#This Row],[Major Group]]&lt;&gt;"","n/a",IF(Table1[[#This Row],[Minor Group]]&lt;&gt;"","n/a",IF(Table1[[#This Row],[Broad Group]]&lt;&gt;"",Table1[[#This Row],[Broad Group]],I1404)))</f>
        <v>53-7050</v>
      </c>
      <c r="J140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Occupation]],J1404))))</f>
        <v>n/a</v>
      </c>
      <c r="K1405" s="2" t="str">
        <f>Table1[[#This Row],[Group Name]]</f>
        <v>Industrial Truck and Tractor Operators</v>
      </c>
    </row>
    <row r="1406" spans="2:11" ht="25.5" x14ac:dyDescent="0.25">
      <c r="D1406" s="5" t="s">
        <v>2549</v>
      </c>
      <c r="E1406" s="5" t="s">
        <v>2548</v>
      </c>
      <c r="F140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06" s="2" t="str">
        <f>IF(Table1[[#This Row],[Type]]="Major",Table1[[#This Row],[Major Group]],G1405)</f>
        <v>53-0000</v>
      </c>
      <c r="H1406" s="2" t="str">
        <f>IF(Table1[[#This Row],[Major Group]]&lt;&gt;"","n/a",IF(Table1[[#This Row],[Minor Group]]&lt;&gt;"",Table1[[#This Row],[Minor Group]],H1405))</f>
        <v>53-7000</v>
      </c>
      <c r="I1406" s="2" t="str">
        <f>IF(Table1[[#This Row],[Major Group]]&lt;&gt;"","n/a",IF(Table1[[#This Row],[Minor Group]]&lt;&gt;"","n/a",IF(Table1[[#This Row],[Broad Group]]&lt;&gt;"",Table1[[#This Row],[Broad Group]],I1405)))</f>
        <v>53-7050</v>
      </c>
      <c r="J140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Occupation]],J1405))))</f>
        <v>53-7051</v>
      </c>
      <c r="K1406" s="2" t="str">
        <f>Table1[[#This Row],[Group Name]]</f>
        <v>Industrial Truck and Tractor Operators</v>
      </c>
    </row>
    <row r="1407" spans="2:11" x14ac:dyDescent="0.25">
      <c r="C1407" s="1" t="s">
        <v>2550</v>
      </c>
      <c r="E1407" s="1" t="s">
        <v>2551</v>
      </c>
      <c r="F140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07" s="2" t="str">
        <f>IF(Table1[[#This Row],[Type]]="Major",Table1[[#This Row],[Major Group]],G1406)</f>
        <v>53-0000</v>
      </c>
      <c r="H1407" s="2" t="str">
        <f>IF(Table1[[#This Row],[Major Group]]&lt;&gt;"","n/a",IF(Table1[[#This Row],[Minor Group]]&lt;&gt;"",Table1[[#This Row],[Minor Group]],H1406))</f>
        <v>53-7000</v>
      </c>
      <c r="I1407" s="2" t="str">
        <f>IF(Table1[[#This Row],[Major Group]]&lt;&gt;"","n/a",IF(Table1[[#This Row],[Minor Group]]&lt;&gt;"","n/a",IF(Table1[[#This Row],[Broad Group]]&lt;&gt;"",Table1[[#This Row],[Broad Group]],I1406)))</f>
        <v>53-7060</v>
      </c>
      <c r="J140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Occupation]],J1406))))</f>
        <v>n/a</v>
      </c>
      <c r="K1407" s="2" t="str">
        <f>Table1[[#This Row],[Group Name]]</f>
        <v>Laborers and Material Movers</v>
      </c>
    </row>
    <row r="1408" spans="2:11" x14ac:dyDescent="0.25">
      <c r="D1408" s="5" t="s">
        <v>2552</v>
      </c>
      <c r="E1408" s="5" t="s">
        <v>2553</v>
      </c>
      <c r="F140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08" s="2" t="str">
        <f>IF(Table1[[#This Row],[Type]]="Major",Table1[[#This Row],[Major Group]],G1407)</f>
        <v>53-0000</v>
      </c>
      <c r="H1408" s="2" t="str">
        <f>IF(Table1[[#This Row],[Major Group]]&lt;&gt;"","n/a",IF(Table1[[#This Row],[Minor Group]]&lt;&gt;"",Table1[[#This Row],[Minor Group]],H1407))</f>
        <v>53-7000</v>
      </c>
      <c r="I1408" s="2" t="str">
        <f>IF(Table1[[#This Row],[Major Group]]&lt;&gt;"","n/a",IF(Table1[[#This Row],[Minor Group]]&lt;&gt;"","n/a",IF(Table1[[#This Row],[Broad Group]]&lt;&gt;"",Table1[[#This Row],[Broad Group]],I1407)))</f>
        <v>53-7060</v>
      </c>
      <c r="J140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Occupation]],J1407))))</f>
        <v>53-7061</v>
      </c>
      <c r="K1408" s="2" t="str">
        <f>Table1[[#This Row],[Group Name]]</f>
        <v>Cleaners of Vehicles and Equipment</v>
      </c>
    </row>
    <row r="1409" spans="1:11" ht="25.5" x14ac:dyDescent="0.25">
      <c r="D1409" s="5" t="s">
        <v>2554</v>
      </c>
      <c r="E1409" s="5" t="s">
        <v>2555</v>
      </c>
      <c r="F140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09" s="2" t="str">
        <f>IF(Table1[[#This Row],[Type]]="Major",Table1[[#This Row],[Major Group]],G1408)</f>
        <v>53-0000</v>
      </c>
      <c r="H1409" s="2" t="str">
        <f>IF(Table1[[#This Row],[Major Group]]&lt;&gt;"","n/a",IF(Table1[[#This Row],[Minor Group]]&lt;&gt;"",Table1[[#This Row],[Minor Group]],H1408))</f>
        <v>53-7000</v>
      </c>
      <c r="I1409" s="2" t="str">
        <f>IF(Table1[[#This Row],[Major Group]]&lt;&gt;"","n/a",IF(Table1[[#This Row],[Minor Group]]&lt;&gt;"","n/a",IF(Table1[[#This Row],[Broad Group]]&lt;&gt;"",Table1[[#This Row],[Broad Group]],I1408)))</f>
        <v>53-7060</v>
      </c>
      <c r="J140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Occupation]],J1408))))</f>
        <v>53-7062</v>
      </c>
      <c r="K1409" s="2" t="str">
        <f>Table1[[#This Row],[Group Name]]</f>
        <v>Laborers and Freight, Stock, and Material Movers, Hand</v>
      </c>
    </row>
    <row r="1410" spans="1:11" x14ac:dyDescent="0.25">
      <c r="D1410" s="5" t="s">
        <v>2556</v>
      </c>
      <c r="E1410" s="5" t="s">
        <v>2557</v>
      </c>
      <c r="F141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10" s="2" t="str">
        <f>IF(Table1[[#This Row],[Type]]="Major",Table1[[#This Row],[Major Group]],G1409)</f>
        <v>53-0000</v>
      </c>
      <c r="H1410" s="2" t="str">
        <f>IF(Table1[[#This Row],[Major Group]]&lt;&gt;"","n/a",IF(Table1[[#This Row],[Minor Group]]&lt;&gt;"",Table1[[#This Row],[Minor Group]],H1409))</f>
        <v>53-7000</v>
      </c>
      <c r="I1410" s="2" t="str">
        <f>IF(Table1[[#This Row],[Major Group]]&lt;&gt;"","n/a",IF(Table1[[#This Row],[Minor Group]]&lt;&gt;"","n/a",IF(Table1[[#This Row],[Broad Group]]&lt;&gt;"",Table1[[#This Row],[Broad Group]],I1409)))</f>
        <v>53-7060</v>
      </c>
      <c r="J141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Occupation]],J1409))))</f>
        <v>53-7063</v>
      </c>
      <c r="K1410" s="2" t="str">
        <f>Table1[[#This Row],[Group Name]]</f>
        <v>Machine Feeders and Offbearers</v>
      </c>
    </row>
    <row r="1411" spans="1:11" x14ac:dyDescent="0.25">
      <c r="D1411" s="5" t="s">
        <v>2558</v>
      </c>
      <c r="E1411" s="5" t="s">
        <v>2559</v>
      </c>
      <c r="F141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11" s="2" t="str">
        <f>IF(Table1[[#This Row],[Type]]="Major",Table1[[#This Row],[Major Group]],G1410)</f>
        <v>53-0000</v>
      </c>
      <c r="H1411" s="2" t="str">
        <f>IF(Table1[[#This Row],[Major Group]]&lt;&gt;"","n/a",IF(Table1[[#This Row],[Minor Group]]&lt;&gt;"",Table1[[#This Row],[Minor Group]],H1410))</f>
        <v>53-7000</v>
      </c>
      <c r="I1411" s="2" t="str">
        <f>IF(Table1[[#This Row],[Major Group]]&lt;&gt;"","n/a",IF(Table1[[#This Row],[Minor Group]]&lt;&gt;"","n/a",IF(Table1[[#This Row],[Broad Group]]&lt;&gt;"",Table1[[#This Row],[Broad Group]],I1410)))</f>
        <v>53-7060</v>
      </c>
      <c r="J141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Occupation]],J1410))))</f>
        <v>53-7064</v>
      </c>
      <c r="K1411" s="2" t="str">
        <f>Table1[[#This Row],[Group Name]]</f>
        <v>Packers and Packagers, Hand</v>
      </c>
    </row>
    <row r="1412" spans="1:11" x14ac:dyDescent="0.25">
      <c r="D1412" s="5" t="s">
        <v>2560</v>
      </c>
      <c r="E1412" s="5" t="s">
        <v>2561</v>
      </c>
      <c r="F141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12" s="2" t="str">
        <f>IF(Table1[[#This Row],[Type]]="Major",Table1[[#This Row],[Major Group]],G1411)</f>
        <v>53-0000</v>
      </c>
      <c r="H1412" s="2" t="str">
        <f>IF(Table1[[#This Row],[Major Group]]&lt;&gt;"","n/a",IF(Table1[[#This Row],[Minor Group]]&lt;&gt;"",Table1[[#This Row],[Minor Group]],H1411))</f>
        <v>53-7000</v>
      </c>
      <c r="I1412" s="2" t="str">
        <f>IF(Table1[[#This Row],[Major Group]]&lt;&gt;"","n/a",IF(Table1[[#This Row],[Minor Group]]&lt;&gt;"","n/a",IF(Table1[[#This Row],[Broad Group]]&lt;&gt;"",Table1[[#This Row],[Broad Group]],I1411)))</f>
        <v>53-7060</v>
      </c>
      <c r="J141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Occupation]],J1411))))</f>
        <v>53-7065</v>
      </c>
      <c r="K1412" s="2" t="str">
        <f>Table1[[#This Row],[Group Name]]</f>
        <v>Stockers and Order Fillers</v>
      </c>
    </row>
    <row r="1413" spans="1:11" x14ac:dyDescent="0.25">
      <c r="C1413" s="1" t="s">
        <v>2562</v>
      </c>
      <c r="E1413" s="1" t="s">
        <v>2563</v>
      </c>
      <c r="F141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13" s="2" t="str">
        <f>IF(Table1[[#This Row],[Type]]="Major",Table1[[#This Row],[Major Group]],G1412)</f>
        <v>53-0000</v>
      </c>
      <c r="H1413" s="2" t="str">
        <f>IF(Table1[[#This Row],[Major Group]]&lt;&gt;"","n/a",IF(Table1[[#This Row],[Minor Group]]&lt;&gt;"",Table1[[#This Row],[Minor Group]],H1412))</f>
        <v>53-7000</v>
      </c>
      <c r="I1413" s="2" t="str">
        <f>IF(Table1[[#This Row],[Major Group]]&lt;&gt;"","n/a",IF(Table1[[#This Row],[Minor Group]]&lt;&gt;"","n/a",IF(Table1[[#This Row],[Broad Group]]&lt;&gt;"",Table1[[#This Row],[Broad Group]],I1412)))</f>
        <v>53-7070</v>
      </c>
      <c r="J141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Occupation]],J1412))))</f>
        <v>n/a</v>
      </c>
      <c r="K1413" s="2" t="str">
        <f>Table1[[#This Row],[Group Name]]</f>
        <v>Pumping Station Operators</v>
      </c>
    </row>
    <row r="1414" spans="1:11" ht="25.5" x14ac:dyDescent="0.25">
      <c r="D1414" s="5" t="s">
        <v>2564</v>
      </c>
      <c r="E1414" s="5" t="s">
        <v>2565</v>
      </c>
      <c r="F141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14" s="2" t="str">
        <f>IF(Table1[[#This Row],[Type]]="Major",Table1[[#This Row],[Major Group]],G1413)</f>
        <v>53-0000</v>
      </c>
      <c r="H1414" s="2" t="str">
        <f>IF(Table1[[#This Row],[Major Group]]&lt;&gt;"","n/a",IF(Table1[[#This Row],[Minor Group]]&lt;&gt;"",Table1[[#This Row],[Minor Group]],H1413))</f>
        <v>53-7000</v>
      </c>
      <c r="I1414" s="2" t="str">
        <f>IF(Table1[[#This Row],[Major Group]]&lt;&gt;"","n/a",IF(Table1[[#This Row],[Minor Group]]&lt;&gt;"","n/a",IF(Table1[[#This Row],[Broad Group]]&lt;&gt;"",Table1[[#This Row],[Broad Group]],I1413)))</f>
        <v>53-7070</v>
      </c>
      <c r="J141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Occupation]],J1413))))</f>
        <v>53-7071</v>
      </c>
      <c r="K1414" s="2" t="str">
        <f>Table1[[#This Row],[Group Name]]</f>
        <v>Gas Compressor and Gas Pumping Station Operators</v>
      </c>
    </row>
    <row r="1415" spans="1:11" ht="25.5" x14ac:dyDescent="0.25">
      <c r="D1415" s="5" t="s">
        <v>2566</v>
      </c>
      <c r="E1415" s="5" t="s">
        <v>2567</v>
      </c>
      <c r="F141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15" s="2" t="str">
        <f>IF(Table1[[#This Row],[Type]]="Major",Table1[[#This Row],[Major Group]],G1414)</f>
        <v>53-0000</v>
      </c>
      <c r="H1415" s="2" t="str">
        <f>IF(Table1[[#This Row],[Major Group]]&lt;&gt;"","n/a",IF(Table1[[#This Row],[Minor Group]]&lt;&gt;"",Table1[[#This Row],[Minor Group]],H1414))</f>
        <v>53-7000</v>
      </c>
      <c r="I1415" s="2" t="str">
        <f>IF(Table1[[#This Row],[Major Group]]&lt;&gt;"","n/a",IF(Table1[[#This Row],[Minor Group]]&lt;&gt;"","n/a",IF(Table1[[#This Row],[Broad Group]]&lt;&gt;"",Table1[[#This Row],[Broad Group]],I1414)))</f>
        <v>53-7070</v>
      </c>
      <c r="J141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Occupation]],J1414))))</f>
        <v>53-7072</v>
      </c>
      <c r="K1415" s="2" t="str">
        <f>Table1[[#This Row],[Group Name]]</f>
        <v>Pump Operators, Except Wellhead Pumpers</v>
      </c>
    </row>
    <row r="1416" spans="1:11" x14ac:dyDescent="0.25">
      <c r="D1416" s="5" t="s">
        <v>2568</v>
      </c>
      <c r="E1416" s="5" t="s">
        <v>2569</v>
      </c>
      <c r="F141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16" s="2" t="str">
        <f>IF(Table1[[#This Row],[Type]]="Major",Table1[[#This Row],[Major Group]],G1415)</f>
        <v>53-0000</v>
      </c>
      <c r="H1416" s="2" t="str">
        <f>IF(Table1[[#This Row],[Major Group]]&lt;&gt;"","n/a",IF(Table1[[#This Row],[Minor Group]]&lt;&gt;"",Table1[[#This Row],[Minor Group]],H1415))</f>
        <v>53-7000</v>
      </c>
      <c r="I1416" s="2" t="str">
        <f>IF(Table1[[#This Row],[Major Group]]&lt;&gt;"","n/a",IF(Table1[[#This Row],[Minor Group]]&lt;&gt;"","n/a",IF(Table1[[#This Row],[Broad Group]]&lt;&gt;"",Table1[[#This Row],[Broad Group]],I1415)))</f>
        <v>53-7070</v>
      </c>
      <c r="J141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Occupation]],J1415))))</f>
        <v>53-7073</v>
      </c>
      <c r="K1416" s="2" t="str">
        <f>Table1[[#This Row],[Group Name]]</f>
        <v>Wellhead Pumpers</v>
      </c>
    </row>
    <row r="1417" spans="1:11" ht="30" x14ac:dyDescent="0.25">
      <c r="C1417" s="1" t="s">
        <v>2570</v>
      </c>
      <c r="E1417" s="1" t="s">
        <v>2571</v>
      </c>
      <c r="F141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17" s="2" t="str">
        <f>IF(Table1[[#This Row],[Type]]="Major",Table1[[#This Row],[Major Group]],G1416)</f>
        <v>53-0000</v>
      </c>
      <c r="H1417" s="2" t="str">
        <f>IF(Table1[[#This Row],[Major Group]]&lt;&gt;"","n/a",IF(Table1[[#This Row],[Minor Group]]&lt;&gt;"",Table1[[#This Row],[Minor Group]],H1416))</f>
        <v>53-7000</v>
      </c>
      <c r="I1417" s="2" t="str">
        <f>IF(Table1[[#This Row],[Major Group]]&lt;&gt;"","n/a",IF(Table1[[#This Row],[Minor Group]]&lt;&gt;"","n/a",IF(Table1[[#This Row],[Broad Group]]&lt;&gt;"",Table1[[#This Row],[Broad Group]],I1416)))</f>
        <v>53-7080</v>
      </c>
      <c r="J141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Occupation]],J1416))))</f>
        <v>n/a</v>
      </c>
      <c r="K1417" s="2" t="str">
        <f>Table1[[#This Row],[Group Name]]</f>
        <v>Refuse and Recyclable Material Collectors</v>
      </c>
    </row>
    <row r="1418" spans="1:11" ht="25.5" x14ac:dyDescent="0.25">
      <c r="D1418" s="5" t="s">
        <v>2572</v>
      </c>
      <c r="E1418" s="5" t="s">
        <v>2571</v>
      </c>
      <c r="F141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18" s="2" t="str">
        <f>IF(Table1[[#This Row],[Type]]="Major",Table1[[#This Row],[Major Group]],G1417)</f>
        <v>53-0000</v>
      </c>
      <c r="H1418" s="2" t="str">
        <f>IF(Table1[[#This Row],[Major Group]]&lt;&gt;"","n/a",IF(Table1[[#This Row],[Minor Group]]&lt;&gt;"",Table1[[#This Row],[Minor Group]],H1417))</f>
        <v>53-7000</v>
      </c>
      <c r="I1418" s="2" t="str">
        <f>IF(Table1[[#This Row],[Major Group]]&lt;&gt;"","n/a",IF(Table1[[#This Row],[Minor Group]]&lt;&gt;"","n/a",IF(Table1[[#This Row],[Broad Group]]&lt;&gt;"",Table1[[#This Row],[Broad Group]],I1417)))</f>
        <v>53-7080</v>
      </c>
      <c r="J141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Occupation]],J1417))))</f>
        <v>53-7081</v>
      </c>
      <c r="K1418" s="2" t="str">
        <f>Table1[[#This Row],[Group Name]]</f>
        <v>Refuse and Recyclable Material Collectors</v>
      </c>
    </row>
    <row r="1419" spans="1:11" x14ac:dyDescent="0.25">
      <c r="C1419" s="1" t="s">
        <v>2573</v>
      </c>
      <c r="E1419" s="1" t="s">
        <v>2574</v>
      </c>
      <c r="F141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19" s="2" t="str">
        <f>IF(Table1[[#This Row],[Type]]="Major",Table1[[#This Row],[Major Group]],G1418)</f>
        <v>53-0000</v>
      </c>
      <c r="H1419" s="2" t="str">
        <f>IF(Table1[[#This Row],[Major Group]]&lt;&gt;"","n/a",IF(Table1[[#This Row],[Minor Group]]&lt;&gt;"",Table1[[#This Row],[Minor Group]],H1418))</f>
        <v>53-7000</v>
      </c>
      <c r="I1419" s="2" t="str">
        <f>IF(Table1[[#This Row],[Major Group]]&lt;&gt;"","n/a",IF(Table1[[#This Row],[Minor Group]]&lt;&gt;"","n/a",IF(Table1[[#This Row],[Broad Group]]&lt;&gt;"",Table1[[#This Row],[Broad Group]],I1418)))</f>
        <v>53-7120</v>
      </c>
      <c r="J141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Occupation]],J1418))))</f>
        <v>n/a</v>
      </c>
      <c r="K1419" s="2" t="str">
        <f>Table1[[#This Row],[Group Name]]</f>
        <v>Tank Car, Truck, and Ship Loaders</v>
      </c>
    </row>
    <row r="1420" spans="1:11" x14ac:dyDescent="0.25">
      <c r="D1420" s="5" t="s">
        <v>2575</v>
      </c>
      <c r="E1420" s="5" t="s">
        <v>2574</v>
      </c>
      <c r="F142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20" s="2" t="str">
        <f>IF(Table1[[#This Row],[Type]]="Major",Table1[[#This Row],[Major Group]],G1419)</f>
        <v>53-0000</v>
      </c>
      <c r="H1420" s="2" t="str">
        <f>IF(Table1[[#This Row],[Major Group]]&lt;&gt;"","n/a",IF(Table1[[#This Row],[Minor Group]]&lt;&gt;"",Table1[[#This Row],[Minor Group]],H1419))</f>
        <v>53-7000</v>
      </c>
      <c r="I1420" s="2" t="str">
        <f>IF(Table1[[#This Row],[Major Group]]&lt;&gt;"","n/a",IF(Table1[[#This Row],[Minor Group]]&lt;&gt;"","n/a",IF(Table1[[#This Row],[Broad Group]]&lt;&gt;"",Table1[[#This Row],[Broad Group]],I1419)))</f>
        <v>53-7120</v>
      </c>
      <c r="J142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Occupation]],J1419))))</f>
        <v>53-7121</v>
      </c>
      <c r="K1420" s="2" t="str">
        <f>Table1[[#This Row],[Group Name]]</f>
        <v>Tank Car, Truck, and Ship Loaders</v>
      </c>
    </row>
    <row r="1421" spans="1:11" ht="30" x14ac:dyDescent="0.25">
      <c r="C1421" s="1" t="s">
        <v>2576</v>
      </c>
      <c r="E1421" s="1" t="s">
        <v>2577</v>
      </c>
      <c r="F142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21" s="2" t="str">
        <f>IF(Table1[[#This Row],[Type]]="Major",Table1[[#This Row],[Major Group]],G1420)</f>
        <v>53-0000</v>
      </c>
      <c r="H1421" s="2" t="str">
        <f>IF(Table1[[#This Row],[Major Group]]&lt;&gt;"","n/a",IF(Table1[[#This Row],[Minor Group]]&lt;&gt;"",Table1[[#This Row],[Minor Group]],H1420))</f>
        <v>53-7000</v>
      </c>
      <c r="I1421" s="2" t="str">
        <f>IF(Table1[[#This Row],[Major Group]]&lt;&gt;"","n/a",IF(Table1[[#This Row],[Minor Group]]&lt;&gt;"","n/a",IF(Table1[[#This Row],[Broad Group]]&lt;&gt;"",Table1[[#This Row],[Broad Group]],I1420)))</f>
        <v>53-7190</v>
      </c>
      <c r="J142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Occupation]],J1420))))</f>
        <v>n/a</v>
      </c>
      <c r="K1421" s="2" t="str">
        <f>Table1[[#This Row],[Group Name]]</f>
        <v>Miscellaneous Material Moving Workers</v>
      </c>
    </row>
    <row r="1422" spans="1:11" x14ac:dyDescent="0.25">
      <c r="D1422" s="5" t="s">
        <v>2578</v>
      </c>
      <c r="E1422" s="5" t="s">
        <v>2579</v>
      </c>
      <c r="F142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22" s="2" t="str">
        <f>IF(Table1[[#This Row],[Type]]="Major",Table1[[#This Row],[Major Group]],G1421)</f>
        <v>53-0000</v>
      </c>
      <c r="H1422" s="2" t="str">
        <f>IF(Table1[[#This Row],[Major Group]]&lt;&gt;"","n/a",IF(Table1[[#This Row],[Minor Group]]&lt;&gt;"",Table1[[#This Row],[Minor Group]],H1421))</f>
        <v>53-7000</v>
      </c>
      <c r="I1422" s="2" t="str">
        <f>IF(Table1[[#This Row],[Major Group]]&lt;&gt;"","n/a",IF(Table1[[#This Row],[Minor Group]]&lt;&gt;"","n/a",IF(Table1[[#This Row],[Broad Group]]&lt;&gt;"",Table1[[#This Row],[Broad Group]],I1421)))</f>
        <v>53-7190</v>
      </c>
      <c r="J142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Occupation]],J1421))))</f>
        <v>53-7199</v>
      </c>
      <c r="K1422" s="2" t="str">
        <f>Table1[[#This Row],[Group Name]]</f>
        <v>Material Moving Workers, All Other</v>
      </c>
    </row>
    <row r="1423" spans="1:11" ht="15.75" x14ac:dyDescent="0.25">
      <c r="A1423" s="4" t="s">
        <v>2580</v>
      </c>
      <c r="E1423" s="4" t="s">
        <v>2581</v>
      </c>
      <c r="F142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Major</v>
      </c>
      <c r="G1423" s="2" t="str">
        <f>IF(Table1[[#This Row],[Type]]="Major",Table1[[#This Row],[Major Group]],G1422)</f>
        <v>55-0000</v>
      </c>
      <c r="H1423" s="2" t="str">
        <f>IF(Table1[[#This Row],[Major Group]]&lt;&gt;"","n/a",IF(Table1[[#This Row],[Minor Group]]&lt;&gt;"",Table1[[#This Row],[Minor Group]],H1422))</f>
        <v>n/a</v>
      </c>
      <c r="I1423" s="2" t="str">
        <f>IF(Table1[[#This Row],[Major Group]]&lt;&gt;"","n/a",IF(Table1[[#This Row],[Minor Group]]&lt;&gt;"","n/a",IF(Table1[[#This Row],[Broad Group]]&lt;&gt;"",Table1[[#This Row],[Broad Group]],I1422)))</f>
        <v>n/a</v>
      </c>
      <c r="J142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Occupation]],J1422))))</f>
        <v>n/a</v>
      </c>
      <c r="K1423" s="2" t="str">
        <f>Table1[[#This Row],[Group Name]]</f>
        <v>Military Specific Occupations</v>
      </c>
    </row>
    <row r="1424" spans="1:11" x14ac:dyDescent="0.25">
      <c r="B1424" s="3" t="s">
        <v>2582</v>
      </c>
      <c r="E1424" s="3" t="s">
        <v>2583</v>
      </c>
      <c r="F142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424" s="2" t="str">
        <f>IF(Table1[[#This Row],[Type]]="Major",Table1[[#This Row],[Major Group]],G1423)</f>
        <v>55-0000</v>
      </c>
      <c r="H1424" s="2" t="str">
        <f>IF(Table1[[#This Row],[Major Group]]&lt;&gt;"","n/a",IF(Table1[[#This Row],[Minor Group]]&lt;&gt;"",Table1[[#This Row],[Minor Group]],H1423))</f>
        <v>55-1000</v>
      </c>
      <c r="I1424" s="2" t="str">
        <f>IF(Table1[[#This Row],[Major Group]]&lt;&gt;"","n/a",IF(Table1[[#This Row],[Minor Group]]&lt;&gt;"","n/a",IF(Table1[[#This Row],[Broad Group]]&lt;&gt;"",Table1[[#This Row],[Broad Group]],I1423)))</f>
        <v>n/a</v>
      </c>
      <c r="J142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Occupation]],J1423))))</f>
        <v>n/a</v>
      </c>
      <c r="K1424" s="2" t="str">
        <f>Table1[[#This Row],[Group Name]]</f>
        <v>Military Officer Special and Tactical Operations Leaders</v>
      </c>
    </row>
    <row r="1425" spans="2:11" ht="30" x14ac:dyDescent="0.25">
      <c r="C1425" s="1" t="s">
        <v>2584</v>
      </c>
      <c r="E1425" s="1" t="s">
        <v>2583</v>
      </c>
      <c r="F142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25" s="2" t="str">
        <f>IF(Table1[[#This Row],[Type]]="Major",Table1[[#This Row],[Major Group]],G1424)</f>
        <v>55-0000</v>
      </c>
      <c r="H1425" s="2" t="str">
        <f>IF(Table1[[#This Row],[Major Group]]&lt;&gt;"","n/a",IF(Table1[[#This Row],[Minor Group]]&lt;&gt;"",Table1[[#This Row],[Minor Group]],H1424))</f>
        <v>55-1000</v>
      </c>
      <c r="I1425" s="2" t="str">
        <f>IF(Table1[[#This Row],[Major Group]]&lt;&gt;"","n/a",IF(Table1[[#This Row],[Minor Group]]&lt;&gt;"","n/a",IF(Table1[[#This Row],[Broad Group]]&lt;&gt;"",Table1[[#This Row],[Broad Group]],I1424)))</f>
        <v>55-1010</v>
      </c>
      <c r="J142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Occupation]],J1424))))</f>
        <v>n/a</v>
      </c>
      <c r="K1425" s="2" t="str">
        <f>Table1[[#This Row],[Group Name]]</f>
        <v>Military Officer Special and Tactical Operations Leaders</v>
      </c>
    </row>
    <row r="1426" spans="2:11" x14ac:dyDescent="0.25">
      <c r="D1426" s="5" t="s">
        <v>2585</v>
      </c>
      <c r="E1426" s="5" t="s">
        <v>2586</v>
      </c>
      <c r="F142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26" s="2" t="str">
        <f>IF(Table1[[#This Row],[Type]]="Major",Table1[[#This Row],[Major Group]],G1425)</f>
        <v>55-0000</v>
      </c>
      <c r="H1426" s="2" t="str">
        <f>IF(Table1[[#This Row],[Major Group]]&lt;&gt;"","n/a",IF(Table1[[#This Row],[Minor Group]]&lt;&gt;"",Table1[[#This Row],[Minor Group]],H1425))</f>
        <v>55-1000</v>
      </c>
      <c r="I1426" s="2" t="str">
        <f>IF(Table1[[#This Row],[Major Group]]&lt;&gt;"","n/a",IF(Table1[[#This Row],[Minor Group]]&lt;&gt;"","n/a",IF(Table1[[#This Row],[Broad Group]]&lt;&gt;"",Table1[[#This Row],[Broad Group]],I1425)))</f>
        <v>55-1010</v>
      </c>
      <c r="J142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Occupation]],J1425))))</f>
        <v>55-1011</v>
      </c>
      <c r="K1426" s="2" t="str">
        <f>Table1[[#This Row],[Group Name]]</f>
        <v>Air Crew Officers</v>
      </c>
    </row>
    <row r="1427" spans="2:11" x14ac:dyDescent="0.25">
      <c r="D1427" s="5" t="s">
        <v>2587</v>
      </c>
      <c r="E1427" s="5" t="s">
        <v>2588</v>
      </c>
      <c r="F142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27" s="2" t="str">
        <f>IF(Table1[[#This Row],[Type]]="Major",Table1[[#This Row],[Major Group]],G1426)</f>
        <v>55-0000</v>
      </c>
      <c r="H1427" s="2" t="str">
        <f>IF(Table1[[#This Row],[Major Group]]&lt;&gt;"","n/a",IF(Table1[[#This Row],[Minor Group]]&lt;&gt;"",Table1[[#This Row],[Minor Group]],H1426))</f>
        <v>55-1000</v>
      </c>
      <c r="I1427" s="2" t="str">
        <f>IF(Table1[[#This Row],[Major Group]]&lt;&gt;"","n/a",IF(Table1[[#This Row],[Minor Group]]&lt;&gt;"","n/a",IF(Table1[[#This Row],[Broad Group]]&lt;&gt;"",Table1[[#This Row],[Broad Group]],I1426)))</f>
        <v>55-1010</v>
      </c>
      <c r="J142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Occupation]],J1426))))</f>
        <v>55-1012</v>
      </c>
      <c r="K1427" s="2" t="str">
        <f>Table1[[#This Row],[Group Name]]</f>
        <v>Aircraft Launch and Recovery Officers</v>
      </c>
    </row>
    <row r="1428" spans="2:11" x14ac:dyDescent="0.25">
      <c r="D1428" s="5" t="s">
        <v>2589</v>
      </c>
      <c r="E1428" s="5" t="s">
        <v>2590</v>
      </c>
      <c r="F142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28" s="2" t="str">
        <f>IF(Table1[[#This Row],[Type]]="Major",Table1[[#This Row],[Major Group]],G1427)</f>
        <v>55-0000</v>
      </c>
      <c r="H1428" s="2" t="str">
        <f>IF(Table1[[#This Row],[Major Group]]&lt;&gt;"","n/a",IF(Table1[[#This Row],[Minor Group]]&lt;&gt;"",Table1[[#This Row],[Minor Group]],H1427))</f>
        <v>55-1000</v>
      </c>
      <c r="I1428" s="2" t="str">
        <f>IF(Table1[[#This Row],[Major Group]]&lt;&gt;"","n/a",IF(Table1[[#This Row],[Minor Group]]&lt;&gt;"","n/a",IF(Table1[[#This Row],[Broad Group]]&lt;&gt;"",Table1[[#This Row],[Broad Group]],I1427)))</f>
        <v>55-1010</v>
      </c>
      <c r="J142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Occupation]],J1427))))</f>
        <v>55-1013</v>
      </c>
      <c r="K1428" s="2" t="str">
        <f>Table1[[#This Row],[Group Name]]</f>
        <v>Armored Assault Vehicle Officers</v>
      </c>
    </row>
    <row r="1429" spans="2:11" x14ac:dyDescent="0.25">
      <c r="D1429" s="5" t="s">
        <v>2591</v>
      </c>
      <c r="E1429" s="5" t="s">
        <v>2592</v>
      </c>
      <c r="F142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29" s="2" t="str">
        <f>IF(Table1[[#This Row],[Type]]="Major",Table1[[#This Row],[Major Group]],G1428)</f>
        <v>55-0000</v>
      </c>
      <c r="H1429" s="2" t="str">
        <f>IF(Table1[[#This Row],[Major Group]]&lt;&gt;"","n/a",IF(Table1[[#This Row],[Minor Group]]&lt;&gt;"",Table1[[#This Row],[Minor Group]],H1428))</f>
        <v>55-1000</v>
      </c>
      <c r="I1429" s="2" t="str">
        <f>IF(Table1[[#This Row],[Major Group]]&lt;&gt;"","n/a",IF(Table1[[#This Row],[Minor Group]]&lt;&gt;"","n/a",IF(Table1[[#This Row],[Broad Group]]&lt;&gt;"",Table1[[#This Row],[Broad Group]],I1428)))</f>
        <v>55-1010</v>
      </c>
      <c r="J142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Occupation]],J1428))))</f>
        <v>55-1014</v>
      </c>
      <c r="K1429" s="2" t="str">
        <f>Table1[[#This Row],[Group Name]]</f>
        <v>Artillery and Missile Officers</v>
      </c>
    </row>
    <row r="1430" spans="2:11" x14ac:dyDescent="0.25">
      <c r="D1430" s="5" t="s">
        <v>2593</v>
      </c>
      <c r="E1430" s="5" t="s">
        <v>2594</v>
      </c>
      <c r="F143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30" s="2" t="str">
        <f>IF(Table1[[#This Row],[Type]]="Major",Table1[[#This Row],[Major Group]],G1429)</f>
        <v>55-0000</v>
      </c>
      <c r="H1430" s="2" t="str">
        <f>IF(Table1[[#This Row],[Major Group]]&lt;&gt;"","n/a",IF(Table1[[#This Row],[Minor Group]]&lt;&gt;"",Table1[[#This Row],[Minor Group]],H1429))</f>
        <v>55-1000</v>
      </c>
      <c r="I1430" s="2" t="str">
        <f>IF(Table1[[#This Row],[Major Group]]&lt;&gt;"","n/a",IF(Table1[[#This Row],[Minor Group]]&lt;&gt;"","n/a",IF(Table1[[#This Row],[Broad Group]]&lt;&gt;"",Table1[[#This Row],[Broad Group]],I1429)))</f>
        <v>55-1010</v>
      </c>
      <c r="J143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Occupation]],J1429))))</f>
        <v>55-1015</v>
      </c>
      <c r="K1430" s="2" t="str">
        <f>Table1[[#This Row],[Group Name]]</f>
        <v>Command and Control Center Officers</v>
      </c>
    </row>
    <row r="1431" spans="2:11" x14ac:dyDescent="0.25">
      <c r="D1431" s="5" t="s">
        <v>2595</v>
      </c>
      <c r="E1431" s="5" t="s">
        <v>2596</v>
      </c>
      <c r="F143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31" s="2" t="str">
        <f>IF(Table1[[#This Row],[Type]]="Major",Table1[[#This Row],[Major Group]],G1430)</f>
        <v>55-0000</v>
      </c>
      <c r="H1431" s="2" t="str">
        <f>IF(Table1[[#This Row],[Major Group]]&lt;&gt;"","n/a",IF(Table1[[#This Row],[Minor Group]]&lt;&gt;"",Table1[[#This Row],[Minor Group]],H1430))</f>
        <v>55-1000</v>
      </c>
      <c r="I1431" s="2" t="str">
        <f>IF(Table1[[#This Row],[Major Group]]&lt;&gt;"","n/a",IF(Table1[[#This Row],[Minor Group]]&lt;&gt;"","n/a",IF(Table1[[#This Row],[Broad Group]]&lt;&gt;"",Table1[[#This Row],[Broad Group]],I1430)))</f>
        <v>55-1010</v>
      </c>
      <c r="J143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Occupation]],J1430))))</f>
        <v>55-1016</v>
      </c>
      <c r="K1431" s="2" t="str">
        <f>Table1[[#This Row],[Group Name]]</f>
        <v>Infantry Officers</v>
      </c>
    </row>
    <row r="1432" spans="2:11" x14ac:dyDescent="0.25">
      <c r="D1432" s="5" t="s">
        <v>2597</v>
      </c>
      <c r="E1432" s="5" t="s">
        <v>2598</v>
      </c>
      <c r="F143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32" s="2" t="str">
        <f>IF(Table1[[#This Row],[Type]]="Major",Table1[[#This Row],[Major Group]],G1431)</f>
        <v>55-0000</v>
      </c>
      <c r="H1432" s="2" t="str">
        <f>IF(Table1[[#This Row],[Major Group]]&lt;&gt;"","n/a",IF(Table1[[#This Row],[Minor Group]]&lt;&gt;"",Table1[[#This Row],[Minor Group]],H1431))</f>
        <v>55-1000</v>
      </c>
      <c r="I1432" s="2" t="str">
        <f>IF(Table1[[#This Row],[Major Group]]&lt;&gt;"","n/a",IF(Table1[[#This Row],[Minor Group]]&lt;&gt;"","n/a",IF(Table1[[#This Row],[Broad Group]]&lt;&gt;"",Table1[[#This Row],[Broad Group]],I1431)))</f>
        <v>55-1010</v>
      </c>
      <c r="J143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Occupation]],J1431))))</f>
        <v>55-1017</v>
      </c>
      <c r="K1432" s="2" t="str">
        <f>Table1[[#This Row],[Group Name]]</f>
        <v>Special Forces Officers</v>
      </c>
    </row>
    <row r="1433" spans="2:11" ht="25.5" x14ac:dyDescent="0.25">
      <c r="D1433" s="5" t="s">
        <v>2599</v>
      </c>
      <c r="E1433" s="5" t="s">
        <v>2600</v>
      </c>
      <c r="F143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33" s="2" t="str">
        <f>IF(Table1[[#This Row],[Type]]="Major",Table1[[#This Row],[Major Group]],G1432)</f>
        <v>55-0000</v>
      </c>
      <c r="H1433" s="2" t="str">
        <f>IF(Table1[[#This Row],[Major Group]]&lt;&gt;"","n/a",IF(Table1[[#This Row],[Minor Group]]&lt;&gt;"",Table1[[#This Row],[Minor Group]],H1432))</f>
        <v>55-1000</v>
      </c>
      <c r="I1433" s="2" t="str">
        <f>IF(Table1[[#This Row],[Major Group]]&lt;&gt;"","n/a",IF(Table1[[#This Row],[Minor Group]]&lt;&gt;"","n/a",IF(Table1[[#This Row],[Broad Group]]&lt;&gt;"",Table1[[#This Row],[Broad Group]],I1432)))</f>
        <v>55-1010</v>
      </c>
      <c r="J143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Occupation]],J1432))))</f>
        <v>55-1019</v>
      </c>
      <c r="K1433" s="2" t="str">
        <f>Table1[[#This Row],[Group Name]]</f>
        <v>Military Officer Special and Tactical Operations Leaders, All Other</v>
      </c>
    </row>
    <row r="1434" spans="2:11" x14ac:dyDescent="0.25">
      <c r="B1434" s="3" t="s">
        <v>2601</v>
      </c>
      <c r="E1434" s="3" t="s">
        <v>2602</v>
      </c>
      <c r="F143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434" s="2" t="str">
        <f>IF(Table1[[#This Row],[Type]]="Major",Table1[[#This Row],[Major Group]],G1433)</f>
        <v>55-0000</v>
      </c>
      <c r="H1434" s="2" t="str">
        <f>IF(Table1[[#This Row],[Major Group]]&lt;&gt;"","n/a",IF(Table1[[#This Row],[Minor Group]]&lt;&gt;"",Table1[[#This Row],[Minor Group]],H1433))</f>
        <v>55-2000</v>
      </c>
      <c r="I1434" s="2" t="str">
        <f>IF(Table1[[#This Row],[Major Group]]&lt;&gt;"","n/a",IF(Table1[[#This Row],[Minor Group]]&lt;&gt;"","n/a",IF(Table1[[#This Row],[Broad Group]]&lt;&gt;"",Table1[[#This Row],[Broad Group]],I1433)))</f>
        <v>n/a</v>
      </c>
      <c r="J143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Occupation]],J1433))))</f>
        <v>n/a</v>
      </c>
      <c r="K1434" s="2" t="str">
        <f>Table1[[#This Row],[Group Name]]</f>
        <v>First-Line Enlisted Military Supervisors</v>
      </c>
    </row>
    <row r="1435" spans="2:11" ht="30" x14ac:dyDescent="0.25">
      <c r="C1435" s="1" t="s">
        <v>2603</v>
      </c>
      <c r="E1435" s="1" t="s">
        <v>2602</v>
      </c>
      <c r="F143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35" s="2" t="str">
        <f>IF(Table1[[#This Row],[Type]]="Major",Table1[[#This Row],[Major Group]],G1434)</f>
        <v>55-0000</v>
      </c>
      <c r="H1435" s="2" t="str">
        <f>IF(Table1[[#This Row],[Major Group]]&lt;&gt;"","n/a",IF(Table1[[#This Row],[Minor Group]]&lt;&gt;"",Table1[[#This Row],[Minor Group]],H1434))</f>
        <v>55-2000</v>
      </c>
      <c r="I1435" s="2" t="str">
        <f>IF(Table1[[#This Row],[Major Group]]&lt;&gt;"","n/a",IF(Table1[[#This Row],[Minor Group]]&lt;&gt;"","n/a",IF(Table1[[#This Row],[Broad Group]]&lt;&gt;"",Table1[[#This Row],[Broad Group]],I1434)))</f>
        <v>55-2010</v>
      </c>
      <c r="J143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Occupation]],J1434))))</f>
        <v>n/a</v>
      </c>
      <c r="K1435" s="2" t="str">
        <f>Table1[[#This Row],[Group Name]]</f>
        <v>First-Line Enlisted Military Supervisors</v>
      </c>
    </row>
    <row r="1436" spans="2:11" ht="25.5" x14ac:dyDescent="0.25">
      <c r="D1436" s="5" t="s">
        <v>2604</v>
      </c>
      <c r="E1436" s="5" t="s">
        <v>2605</v>
      </c>
      <c r="F143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36" s="2" t="str">
        <f>IF(Table1[[#This Row],[Type]]="Major",Table1[[#This Row],[Major Group]],G1435)</f>
        <v>55-0000</v>
      </c>
      <c r="H1436" s="2" t="str">
        <f>IF(Table1[[#This Row],[Major Group]]&lt;&gt;"","n/a",IF(Table1[[#This Row],[Minor Group]]&lt;&gt;"",Table1[[#This Row],[Minor Group]],H1435))</f>
        <v>55-2000</v>
      </c>
      <c r="I1436" s="2" t="str">
        <f>IF(Table1[[#This Row],[Major Group]]&lt;&gt;"","n/a",IF(Table1[[#This Row],[Minor Group]]&lt;&gt;"","n/a",IF(Table1[[#This Row],[Broad Group]]&lt;&gt;"",Table1[[#This Row],[Broad Group]],I1435)))</f>
        <v>55-2010</v>
      </c>
      <c r="J143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Occupation]],J1435))))</f>
        <v>55-2011</v>
      </c>
      <c r="K1436" s="2" t="str">
        <f>Table1[[#This Row],[Group Name]]</f>
        <v>First-Line Supervisors of Air Crew Members</v>
      </c>
    </row>
    <row r="1437" spans="2:11" ht="25.5" x14ac:dyDescent="0.25">
      <c r="D1437" s="5" t="s">
        <v>2606</v>
      </c>
      <c r="E1437" s="5" t="s">
        <v>2607</v>
      </c>
      <c r="F143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37" s="2" t="str">
        <f>IF(Table1[[#This Row],[Type]]="Major",Table1[[#This Row],[Major Group]],G1436)</f>
        <v>55-0000</v>
      </c>
      <c r="H1437" s="2" t="str">
        <f>IF(Table1[[#This Row],[Major Group]]&lt;&gt;"","n/a",IF(Table1[[#This Row],[Minor Group]]&lt;&gt;"",Table1[[#This Row],[Minor Group]],H1436))</f>
        <v>55-2000</v>
      </c>
      <c r="I1437" s="2" t="str">
        <f>IF(Table1[[#This Row],[Major Group]]&lt;&gt;"","n/a",IF(Table1[[#This Row],[Minor Group]]&lt;&gt;"","n/a",IF(Table1[[#This Row],[Broad Group]]&lt;&gt;"",Table1[[#This Row],[Broad Group]],I1436)))</f>
        <v>55-2010</v>
      </c>
      <c r="J143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Occupation]],J1436))))</f>
        <v>55-2012</v>
      </c>
      <c r="K1437" s="2" t="str">
        <f>Table1[[#This Row],[Group Name]]</f>
        <v>First-Line Supervisors of Weapons Specialists/Crew Members</v>
      </c>
    </row>
    <row r="1438" spans="2:11" ht="25.5" x14ac:dyDescent="0.25">
      <c r="D1438" s="5" t="s">
        <v>2608</v>
      </c>
      <c r="E1438" s="5" t="s">
        <v>2609</v>
      </c>
      <c r="F143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38" s="2" t="str">
        <f>IF(Table1[[#This Row],[Type]]="Major",Table1[[#This Row],[Major Group]],G1437)</f>
        <v>55-0000</v>
      </c>
      <c r="H1438" s="2" t="str">
        <f>IF(Table1[[#This Row],[Major Group]]&lt;&gt;"","n/a",IF(Table1[[#This Row],[Minor Group]]&lt;&gt;"",Table1[[#This Row],[Minor Group]],H1437))</f>
        <v>55-2000</v>
      </c>
      <c r="I1438" s="2" t="str">
        <f>IF(Table1[[#This Row],[Major Group]]&lt;&gt;"","n/a",IF(Table1[[#This Row],[Minor Group]]&lt;&gt;"","n/a",IF(Table1[[#This Row],[Broad Group]]&lt;&gt;"",Table1[[#This Row],[Broad Group]],I1437)))</f>
        <v>55-2010</v>
      </c>
      <c r="J143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Occupation]],J1437))))</f>
        <v>55-2013</v>
      </c>
      <c r="K1438" s="2" t="str">
        <f>Table1[[#This Row],[Group Name]]</f>
        <v>First-Line Supervisors of All Other Tactical Operations Specialists</v>
      </c>
    </row>
    <row r="1439" spans="2:11" x14ac:dyDescent="0.25">
      <c r="B1439" s="3" t="s">
        <v>2610</v>
      </c>
      <c r="E1439" s="3" t="s">
        <v>2611</v>
      </c>
      <c r="F1439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Minor</v>
      </c>
      <c r="G1439" s="2" t="str">
        <f>IF(Table1[[#This Row],[Type]]="Major",Table1[[#This Row],[Major Group]],G1438)</f>
        <v>55-0000</v>
      </c>
      <c r="H1439" s="2" t="str">
        <f>IF(Table1[[#This Row],[Major Group]]&lt;&gt;"","n/a",IF(Table1[[#This Row],[Minor Group]]&lt;&gt;"",Table1[[#This Row],[Minor Group]],H1438))</f>
        <v>55-3000</v>
      </c>
      <c r="I1439" s="2" t="str">
        <f>IF(Table1[[#This Row],[Major Group]]&lt;&gt;"","n/a",IF(Table1[[#This Row],[Minor Group]]&lt;&gt;"","n/a",IF(Table1[[#This Row],[Broad Group]]&lt;&gt;"",Table1[[#This Row],[Broad Group]],I1438)))</f>
        <v>n/a</v>
      </c>
      <c r="J1439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Occupation]],J1438))))</f>
        <v>n/a</v>
      </c>
      <c r="K1439" s="2" t="str">
        <f>Table1[[#This Row],[Group Name]]</f>
        <v>Military Enlisted Tactical Operations and Air/Weapons Specialists and Crew Members</v>
      </c>
    </row>
    <row r="1440" spans="2:11" ht="45" x14ac:dyDescent="0.25">
      <c r="C1440" s="1" t="s">
        <v>2612</v>
      </c>
      <c r="E1440" s="1" t="s">
        <v>2611</v>
      </c>
      <c r="F1440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Broad</v>
      </c>
      <c r="G1440" s="2" t="str">
        <f>IF(Table1[[#This Row],[Type]]="Major",Table1[[#This Row],[Major Group]],G1439)</f>
        <v>55-0000</v>
      </c>
      <c r="H1440" s="2" t="str">
        <f>IF(Table1[[#This Row],[Major Group]]&lt;&gt;"","n/a",IF(Table1[[#This Row],[Minor Group]]&lt;&gt;"",Table1[[#This Row],[Minor Group]],H1439))</f>
        <v>55-3000</v>
      </c>
      <c r="I1440" s="2" t="str">
        <f>IF(Table1[[#This Row],[Major Group]]&lt;&gt;"","n/a",IF(Table1[[#This Row],[Minor Group]]&lt;&gt;"","n/a",IF(Table1[[#This Row],[Broad Group]]&lt;&gt;"",Table1[[#This Row],[Broad Group]],I1439)))</f>
        <v>55-3010</v>
      </c>
      <c r="J1440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Occupation]],J1439))))</f>
        <v>n/a</v>
      </c>
      <c r="K1440" s="2" t="str">
        <f>Table1[[#This Row],[Group Name]]</f>
        <v>Military Enlisted Tactical Operations and Air/Weapons Specialists and Crew Members</v>
      </c>
    </row>
    <row r="1441" spans="4:11" x14ac:dyDescent="0.25">
      <c r="D1441" s="5" t="s">
        <v>2613</v>
      </c>
      <c r="E1441" s="5" t="s">
        <v>2614</v>
      </c>
      <c r="F1441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1" s="2" t="str">
        <f>IF(Table1[[#This Row],[Type]]="Major",Table1[[#This Row],[Major Group]],G1440)</f>
        <v>55-0000</v>
      </c>
      <c r="H1441" s="2" t="str">
        <f>IF(Table1[[#This Row],[Major Group]]&lt;&gt;"","n/a",IF(Table1[[#This Row],[Minor Group]]&lt;&gt;"",Table1[[#This Row],[Minor Group]],H1440))</f>
        <v>55-3000</v>
      </c>
      <c r="I1441" s="2" t="str">
        <f>IF(Table1[[#This Row],[Major Group]]&lt;&gt;"","n/a",IF(Table1[[#This Row],[Minor Group]]&lt;&gt;"","n/a",IF(Table1[[#This Row],[Broad Group]]&lt;&gt;"",Table1[[#This Row],[Broad Group]],I1440)))</f>
        <v>55-3010</v>
      </c>
      <c r="J1441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Occupation]],J1440))))</f>
        <v>55-3011</v>
      </c>
      <c r="K1441" s="2" t="str">
        <f>Table1[[#This Row],[Group Name]]</f>
        <v>Air Crew Members</v>
      </c>
    </row>
    <row r="1442" spans="4:11" ht="25.5" x14ac:dyDescent="0.25">
      <c r="D1442" s="5" t="s">
        <v>2615</v>
      </c>
      <c r="E1442" s="5" t="s">
        <v>2616</v>
      </c>
      <c r="F1442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2" s="2" t="str">
        <f>IF(Table1[[#This Row],[Type]]="Major",Table1[[#This Row],[Major Group]],G1441)</f>
        <v>55-0000</v>
      </c>
      <c r="H1442" s="2" t="str">
        <f>IF(Table1[[#This Row],[Major Group]]&lt;&gt;"","n/a",IF(Table1[[#This Row],[Minor Group]]&lt;&gt;"",Table1[[#This Row],[Minor Group]],H1441))</f>
        <v>55-3000</v>
      </c>
      <c r="I1442" s="2" t="str">
        <f>IF(Table1[[#This Row],[Major Group]]&lt;&gt;"","n/a",IF(Table1[[#This Row],[Minor Group]]&lt;&gt;"","n/a",IF(Table1[[#This Row],[Broad Group]]&lt;&gt;"",Table1[[#This Row],[Broad Group]],I1441)))</f>
        <v>55-3010</v>
      </c>
      <c r="J1442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Occupation]],J1441))))</f>
        <v>55-3012</v>
      </c>
      <c r="K1442" s="2" t="str">
        <f>Table1[[#This Row],[Group Name]]</f>
        <v>Aircraft Launch and Recovery Specialists</v>
      </c>
    </row>
    <row r="1443" spans="4:11" ht="25.5" x14ac:dyDescent="0.25">
      <c r="D1443" s="5" t="s">
        <v>2617</v>
      </c>
      <c r="E1443" s="5" t="s">
        <v>2618</v>
      </c>
      <c r="F1443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3" s="2" t="str">
        <f>IF(Table1[[#This Row],[Type]]="Major",Table1[[#This Row],[Major Group]],G1442)</f>
        <v>55-0000</v>
      </c>
      <c r="H1443" s="2" t="str">
        <f>IF(Table1[[#This Row],[Major Group]]&lt;&gt;"","n/a",IF(Table1[[#This Row],[Minor Group]]&lt;&gt;"",Table1[[#This Row],[Minor Group]],H1442))</f>
        <v>55-3000</v>
      </c>
      <c r="I1443" s="2" t="str">
        <f>IF(Table1[[#This Row],[Major Group]]&lt;&gt;"","n/a",IF(Table1[[#This Row],[Minor Group]]&lt;&gt;"","n/a",IF(Table1[[#This Row],[Broad Group]]&lt;&gt;"",Table1[[#This Row],[Broad Group]],I1442)))</f>
        <v>55-3010</v>
      </c>
      <c r="J1443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Occupation]],J1442))))</f>
        <v>55-3013</v>
      </c>
      <c r="K1443" s="2" t="str">
        <f>Table1[[#This Row],[Group Name]]</f>
        <v>Armored Assault Vehicle Crew Members</v>
      </c>
    </row>
    <row r="1444" spans="4:11" x14ac:dyDescent="0.25">
      <c r="D1444" s="5" t="s">
        <v>2619</v>
      </c>
      <c r="E1444" s="5" t="s">
        <v>2620</v>
      </c>
      <c r="F1444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4" s="2" t="str">
        <f>IF(Table1[[#This Row],[Type]]="Major",Table1[[#This Row],[Major Group]],G1443)</f>
        <v>55-0000</v>
      </c>
      <c r="H1444" s="2" t="str">
        <f>IF(Table1[[#This Row],[Major Group]]&lt;&gt;"","n/a",IF(Table1[[#This Row],[Minor Group]]&lt;&gt;"",Table1[[#This Row],[Minor Group]],H1443))</f>
        <v>55-3000</v>
      </c>
      <c r="I1444" s="2" t="str">
        <f>IF(Table1[[#This Row],[Major Group]]&lt;&gt;"","n/a",IF(Table1[[#This Row],[Minor Group]]&lt;&gt;"","n/a",IF(Table1[[#This Row],[Broad Group]]&lt;&gt;"",Table1[[#This Row],[Broad Group]],I1443)))</f>
        <v>55-3010</v>
      </c>
      <c r="J1444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Occupation]],J1443))))</f>
        <v>55-3014</v>
      </c>
      <c r="K1444" s="2" t="str">
        <f>Table1[[#This Row],[Group Name]]</f>
        <v>Artillery and Missile Crew Members</v>
      </c>
    </row>
    <row r="1445" spans="4:11" ht="25.5" x14ac:dyDescent="0.25">
      <c r="D1445" s="5" t="s">
        <v>2621</v>
      </c>
      <c r="E1445" s="5" t="s">
        <v>2622</v>
      </c>
      <c r="F1445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5" s="2" t="str">
        <f>IF(Table1[[#This Row],[Type]]="Major",Table1[[#This Row],[Major Group]],G1444)</f>
        <v>55-0000</v>
      </c>
      <c r="H1445" s="2" t="str">
        <f>IF(Table1[[#This Row],[Major Group]]&lt;&gt;"","n/a",IF(Table1[[#This Row],[Minor Group]]&lt;&gt;"",Table1[[#This Row],[Minor Group]],H1444))</f>
        <v>55-3000</v>
      </c>
      <c r="I1445" s="2" t="str">
        <f>IF(Table1[[#This Row],[Major Group]]&lt;&gt;"","n/a",IF(Table1[[#This Row],[Minor Group]]&lt;&gt;"","n/a",IF(Table1[[#This Row],[Broad Group]]&lt;&gt;"",Table1[[#This Row],[Broad Group]],I1444)))</f>
        <v>55-3010</v>
      </c>
      <c r="J1445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Occupation]],J1444))))</f>
        <v>55-3015</v>
      </c>
      <c r="K1445" s="2" t="str">
        <f>Table1[[#This Row],[Group Name]]</f>
        <v>Command and Control Center Specialists</v>
      </c>
    </row>
    <row r="1446" spans="4:11" x14ac:dyDescent="0.25">
      <c r="D1446" s="5" t="s">
        <v>2623</v>
      </c>
      <c r="E1446" s="5" t="s">
        <v>2624</v>
      </c>
      <c r="F1446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6" s="2" t="str">
        <f>IF(Table1[[#This Row],[Type]]="Major",Table1[[#This Row],[Major Group]],G1445)</f>
        <v>55-0000</v>
      </c>
      <c r="H1446" s="2" t="str">
        <f>IF(Table1[[#This Row],[Major Group]]&lt;&gt;"","n/a",IF(Table1[[#This Row],[Minor Group]]&lt;&gt;"",Table1[[#This Row],[Minor Group]],H1445))</f>
        <v>55-3000</v>
      </c>
      <c r="I1446" s="2" t="str">
        <f>IF(Table1[[#This Row],[Major Group]]&lt;&gt;"","n/a",IF(Table1[[#This Row],[Minor Group]]&lt;&gt;"","n/a",IF(Table1[[#This Row],[Broad Group]]&lt;&gt;"",Table1[[#This Row],[Broad Group]],I1445)))</f>
        <v>55-3010</v>
      </c>
      <c r="J1446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Occupation]],J1445))))</f>
        <v>55-3016</v>
      </c>
      <c r="K1446" s="2" t="str">
        <f>Table1[[#This Row],[Group Name]]</f>
        <v>Infantry</v>
      </c>
    </row>
    <row r="1447" spans="4:11" x14ac:dyDescent="0.25">
      <c r="D1447" s="5" t="s">
        <v>2625</v>
      </c>
      <c r="E1447" s="5" t="s">
        <v>2626</v>
      </c>
      <c r="F1447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7" s="2" t="str">
        <f>IF(Table1[[#This Row],[Type]]="Major",Table1[[#This Row],[Major Group]],G1446)</f>
        <v>55-0000</v>
      </c>
      <c r="H1447" s="2" t="str">
        <f>IF(Table1[[#This Row],[Major Group]]&lt;&gt;"","n/a",IF(Table1[[#This Row],[Minor Group]]&lt;&gt;"",Table1[[#This Row],[Minor Group]],H1446))</f>
        <v>55-3000</v>
      </c>
      <c r="I1447" s="2" t="str">
        <f>IF(Table1[[#This Row],[Major Group]]&lt;&gt;"","n/a",IF(Table1[[#This Row],[Minor Group]]&lt;&gt;"","n/a",IF(Table1[[#This Row],[Broad Group]]&lt;&gt;"",Table1[[#This Row],[Broad Group]],I1446)))</f>
        <v>55-3010</v>
      </c>
      <c r="J1447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Occupation]],J1446))))</f>
        <v>55-3018</v>
      </c>
      <c r="K1447" s="2" t="str">
        <f>Table1[[#This Row],[Group Name]]</f>
        <v>Special Forces</v>
      </c>
    </row>
    <row r="1448" spans="4:11" ht="38.25" x14ac:dyDescent="0.25">
      <c r="D1448" s="5" t="s">
        <v>2627</v>
      </c>
      <c r="E1448" s="5" t="s">
        <v>2628</v>
      </c>
      <c r="F1448" s="2" t="str">
        <f>IF(Table1[[#This Row],[Major Group]]&lt;&gt;"","Major",IF(Table1[[#This Row],[Minor Group]]&lt;&gt;"","Minor",IF(Table1[[#This Row],[Broad Group]]&lt;&gt;"","Broad",IF(Table1[[#This Row],[Detailed Occupation]]&lt;&gt;"","Detailed","tbd"))))</f>
        <v>Detailed</v>
      </c>
      <c r="G1448" s="2" t="str">
        <f>IF(Table1[[#This Row],[Type]]="Major",Table1[[#This Row],[Major Group]],G1447)</f>
        <v>55-0000</v>
      </c>
      <c r="H1448" s="2" t="str">
        <f>IF(Table1[[#This Row],[Major Group]]&lt;&gt;"","n/a",IF(Table1[[#This Row],[Minor Group]]&lt;&gt;"",Table1[[#This Row],[Minor Group]],H1447))</f>
        <v>55-3000</v>
      </c>
      <c r="I1448" s="2" t="str">
        <f>IF(Table1[[#This Row],[Major Group]]&lt;&gt;"","n/a",IF(Table1[[#This Row],[Minor Group]]&lt;&gt;"","n/a",IF(Table1[[#This Row],[Broad Group]]&lt;&gt;"",Table1[[#This Row],[Broad Group]],I1447)))</f>
        <v>55-3010</v>
      </c>
      <c r="J1448" s="2" t="str">
        <f>IF(Table1[[#This Row],[Major Group]]&lt;&gt;"","n/a",IF(Table1[[#This Row],[Minor Group]]&lt;&gt;"","n/a",IF(Table1[[#This Row],[Broad Group]]&lt;&gt;"","n/a",IF(Table1[[#This Row],[Detailed Occupation]]&lt;&gt;"",Table1[[#This Row],[Detailed Occupation]],J1447))))</f>
        <v>55-3019</v>
      </c>
      <c r="K1448" s="2" t="str">
        <f>Table1[[#This Row],[Group Name]]</f>
        <v>Military Enlisted Tactical Operations and Air/Weapons Specialists and Crew Members, All Other</v>
      </c>
    </row>
  </sheetData>
  <pageMargins left="0.7" right="0.7" top="0.75" bottom="0.75" header="0.3" footer="0.3"/>
  <pageSetup scale="98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 Structure</vt:lpstr>
      <vt:lpstr>'2018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2017-11-30T21:06:07Z</dcterms:created>
  <dcterms:modified xsi:type="dcterms:W3CDTF">2026-03-17T18:51:45Z</dcterms:modified>
</cp:coreProperties>
</file>